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2.xml" ContentType="application/vnd.openxmlformats-officedocument.drawing+xml"/>
  <Override PartName="/xl/comments8.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15"/>
  <workbookPr defaultThemeVersion="124226"/>
  <mc:AlternateContent xmlns:mc="http://schemas.openxmlformats.org/markup-compatibility/2006">
    <mc:Choice Requires="x15">
      <x15ac:absPath xmlns:x15ac="http://schemas.microsoft.com/office/spreadsheetml/2010/11/ac" url="C:\Users\Fotis\Desktop\"/>
    </mc:Choice>
  </mc:AlternateContent>
  <xr:revisionPtr revIDLastSave="0" documentId="13_ncr:1_{5365EB0E-71A2-4499-922D-D266E9B95342}" xr6:coauthVersionLast="47" xr6:coauthVersionMax="47" xr10:uidLastSave="{00000000-0000-0000-0000-000000000000}"/>
  <workbookProtection workbookAlgorithmName="SHA-512" workbookHashValue="3pjuvwHrnVK/PpW/545pWIW5uwRRoAsvgQ1CjlQSYcN+yAn2pfmkv/ZYyNN+KK/XOuPlbTgt61/34+dz2ecUVA==" workbookSaltValue="mH8YWw8GME+vOymAG0D+2w==" workbookSpinCount="100000" lockStructure="1"/>
  <bookViews>
    <workbookView xWindow="-120" yWindow="-120" windowWidth="29040" windowHeight="18240" tabRatio="916" xr2:uid="{00000000-000D-0000-FFFF-FFFF00000000}"/>
  </bookViews>
  <sheets>
    <sheet name="Στοιχεία Πρακτικής" sheetId="14" r:id="rId1"/>
    <sheet name="1ος" sheetId="22" r:id="rId2"/>
    <sheet name="2ος" sheetId="23" r:id="rId3"/>
    <sheet name="3ος" sheetId="24" r:id="rId4"/>
    <sheet name="4ος" sheetId="25" r:id="rId5"/>
    <sheet name="5ος" sheetId="26" r:id="rId6"/>
    <sheet name="6ος" sheetId="27" r:id="rId7"/>
    <sheet name="extra" sheetId="28" r:id="rId8"/>
    <sheet name="ΑΠΟΛΟΓΙΣΜΟΣ" sheetId="10" r:id="rId9"/>
    <sheet name="Αργίες" sheetId="29" r:id="rId10"/>
  </sheets>
  <definedNames>
    <definedName name="holidays">Αργίες!$E$4:$E$43</definedName>
    <definedName name="Επίδοση">#REF!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23" l="1"/>
  <c r="F9" i="24"/>
  <c r="F9" i="25"/>
  <c r="F9" i="26"/>
  <c r="F9" i="27"/>
  <c r="F9" i="28"/>
  <c r="F23" i="22"/>
  <c r="D24" i="14"/>
  <c r="C24" i="14"/>
  <c r="E38" i="29"/>
  <c r="E34" i="29"/>
  <c r="E35" i="29" s="1"/>
  <c r="E36" i="29" s="1"/>
  <c r="E14" i="29"/>
  <c r="E15" i="29" s="1"/>
  <c r="E16" i="29" s="1"/>
  <c r="F1" i="10"/>
  <c r="B1" i="10"/>
  <c r="C21" i="14" l="1"/>
  <c r="E11" i="29"/>
  <c r="E10" i="29"/>
  <c r="E9" i="29"/>
  <c r="E8" i="29"/>
  <c r="E7" i="29"/>
  <c r="E6" i="29"/>
  <c r="E5" i="29"/>
  <c r="E4" i="29"/>
  <c r="E31" i="29"/>
  <c r="E30" i="29"/>
  <c r="E29" i="29"/>
  <c r="E28" i="29"/>
  <c r="E27" i="29"/>
  <c r="E26" i="29"/>
  <c r="E25" i="29"/>
  <c r="E24" i="29"/>
  <c r="C23" i="14" l="1"/>
  <c r="D3" i="22"/>
  <c r="F65" i="22" l="1"/>
  <c r="B4" i="28"/>
  <c r="B4" i="27"/>
  <c r="B4" i="26"/>
  <c r="B4" i="25"/>
  <c r="B4" i="24"/>
  <c r="E3" i="28"/>
  <c r="E3" i="27"/>
  <c r="E3" i="26"/>
  <c r="E3" i="25"/>
  <c r="D4" i="24"/>
  <c r="E4" i="24" s="1"/>
  <c r="E3" i="24"/>
  <c r="B4" i="23"/>
  <c r="F37" i="22"/>
  <c r="F51" i="22"/>
  <c r="E3" i="22"/>
  <c r="D69" i="28" l="1"/>
  <c r="D68" i="28"/>
  <c r="D55" i="28"/>
  <c r="D54" i="28"/>
  <c r="D41" i="28"/>
  <c r="D40" i="28"/>
  <c r="D27" i="28"/>
  <c r="D26" i="28"/>
  <c r="B18" i="28"/>
  <c r="B32" i="28" s="1"/>
  <c r="B46" i="28" s="1"/>
  <c r="B60" i="28" s="1"/>
  <c r="D17" i="28"/>
  <c r="D31" i="28" s="1"/>
  <c r="D13" i="28"/>
  <c r="D12" i="28"/>
  <c r="B7" i="28"/>
  <c r="B8" i="28" s="1"/>
  <c r="B9" i="28" s="1"/>
  <c r="B10" i="28" s="1"/>
  <c r="B11" i="28" s="1"/>
  <c r="D4" i="28"/>
  <c r="E4" i="28" s="1"/>
  <c r="D69" i="27"/>
  <c r="D68" i="27"/>
  <c r="D55" i="27"/>
  <c r="D54" i="27"/>
  <c r="D41" i="27"/>
  <c r="D40" i="27"/>
  <c r="D27" i="27"/>
  <c r="D26" i="27"/>
  <c r="B18" i="27"/>
  <c r="B32" i="27" s="1"/>
  <c r="B46" i="27" s="1"/>
  <c r="B60" i="27" s="1"/>
  <c r="D17" i="27"/>
  <c r="D31" i="27" s="1"/>
  <c r="D13" i="27"/>
  <c r="D12" i="27"/>
  <c r="B7" i="27"/>
  <c r="B8" i="27" s="1"/>
  <c r="B9" i="27" s="1"/>
  <c r="B10" i="27" s="1"/>
  <c r="B11" i="27" s="1"/>
  <c r="D4" i="27"/>
  <c r="E4" i="27" s="1"/>
  <c r="D69" i="26"/>
  <c r="D68" i="26"/>
  <c r="D55" i="26"/>
  <c r="D54" i="26"/>
  <c r="D41" i="26"/>
  <c r="D40" i="26"/>
  <c r="D27" i="26"/>
  <c r="D26" i="26"/>
  <c r="B18" i="26"/>
  <c r="B32" i="26" s="1"/>
  <c r="B46" i="26" s="1"/>
  <c r="B60" i="26" s="1"/>
  <c r="D17" i="26"/>
  <c r="D31" i="26" s="1"/>
  <c r="D13" i="26"/>
  <c r="D12" i="26"/>
  <c r="B7" i="26"/>
  <c r="B8" i="26" s="1"/>
  <c r="B9" i="26" s="1"/>
  <c r="B10" i="26" s="1"/>
  <c r="B11" i="26" s="1"/>
  <c r="D4" i="26"/>
  <c r="E4" i="26" s="1"/>
  <c r="D69" i="25"/>
  <c r="D68" i="25"/>
  <c r="D55" i="25"/>
  <c r="D54" i="25"/>
  <c r="D41" i="25"/>
  <c r="D40" i="25"/>
  <c r="D27" i="25"/>
  <c r="D26" i="25"/>
  <c r="B18" i="25"/>
  <c r="B32" i="25" s="1"/>
  <c r="B46" i="25" s="1"/>
  <c r="B60" i="25" s="1"/>
  <c r="D17" i="25"/>
  <c r="D31" i="25" s="1"/>
  <c r="D13" i="25"/>
  <c r="D12" i="25"/>
  <c r="B7" i="25"/>
  <c r="B8" i="25" s="1"/>
  <c r="B9" i="25" s="1"/>
  <c r="B10" i="25" s="1"/>
  <c r="B11" i="25" s="1"/>
  <c r="D4" i="25"/>
  <c r="E4" i="25" s="1"/>
  <c r="D69" i="24"/>
  <c r="D68" i="24"/>
  <c r="D55" i="24"/>
  <c r="D54" i="24"/>
  <c r="D41" i="24"/>
  <c r="D40" i="24"/>
  <c r="D27" i="24"/>
  <c r="D26" i="24"/>
  <c r="B18" i="24"/>
  <c r="B32" i="24" s="1"/>
  <c r="B46" i="24" s="1"/>
  <c r="B60" i="24" s="1"/>
  <c r="D17" i="24"/>
  <c r="D31" i="24" s="1"/>
  <c r="D13" i="24"/>
  <c r="D12" i="24"/>
  <c r="B7" i="24"/>
  <c r="B8" i="24" s="1"/>
  <c r="B9" i="24" s="1"/>
  <c r="B10" i="24" s="1"/>
  <c r="B11" i="24" s="1"/>
  <c r="D69" i="23"/>
  <c r="D68" i="23"/>
  <c r="D55" i="23"/>
  <c r="D54" i="23"/>
  <c r="D41" i="23"/>
  <c r="D40" i="23"/>
  <c r="D27" i="23"/>
  <c r="D26" i="23"/>
  <c r="B18" i="23"/>
  <c r="B32" i="23" s="1"/>
  <c r="B46" i="23" s="1"/>
  <c r="B60" i="23" s="1"/>
  <c r="D17" i="23"/>
  <c r="D31" i="23" s="1"/>
  <c r="D13" i="23"/>
  <c r="D12" i="23"/>
  <c r="B7" i="23"/>
  <c r="B8" i="23" s="1"/>
  <c r="B9" i="23" s="1"/>
  <c r="B10" i="23" s="1"/>
  <c r="B11" i="23" s="1"/>
  <c r="D4" i="23"/>
  <c r="E4" i="23" s="1"/>
  <c r="E3" i="23"/>
  <c r="D69" i="22"/>
  <c r="D68" i="22"/>
  <c r="D55" i="22"/>
  <c r="D54" i="22"/>
  <c r="D41" i="22"/>
  <c r="D40" i="22"/>
  <c r="D27" i="22"/>
  <c r="D26" i="22"/>
  <c r="B18" i="22"/>
  <c r="B32" i="22" s="1"/>
  <c r="B46" i="22" s="1"/>
  <c r="B60" i="22" s="1"/>
  <c r="D17" i="22"/>
  <c r="D31" i="22" s="1"/>
  <c r="D13" i="22"/>
  <c r="L13" i="22" s="1"/>
  <c r="L27" i="22" s="1"/>
  <c r="D12" i="22"/>
  <c r="B7" i="22"/>
  <c r="B8" i="22" s="1"/>
  <c r="B9" i="22" s="1"/>
  <c r="B10" i="22" s="1"/>
  <c r="B11" i="22" s="1"/>
  <c r="D4" i="22"/>
  <c r="E4" i="22" s="1"/>
  <c r="D45" i="28" l="1"/>
  <c r="B35" i="28"/>
  <c r="B36" i="28" s="1"/>
  <c r="B37" i="28" s="1"/>
  <c r="B38" i="28" s="1"/>
  <c r="B39" i="28" s="1"/>
  <c r="D32" i="28"/>
  <c r="E32" i="28" s="1"/>
  <c r="E31" i="28"/>
  <c r="E17" i="28"/>
  <c r="D18" i="28"/>
  <c r="E18" i="28" s="1"/>
  <c r="B21" i="28"/>
  <c r="B22" i="28" s="1"/>
  <c r="B23" i="28" s="1"/>
  <c r="B24" i="28" s="1"/>
  <c r="B25" i="28" s="1"/>
  <c r="D45" i="27"/>
  <c r="B35" i="27"/>
  <c r="B36" i="27" s="1"/>
  <c r="B37" i="27" s="1"/>
  <c r="B38" i="27" s="1"/>
  <c r="B39" i="27" s="1"/>
  <c r="D32" i="27"/>
  <c r="E32" i="27" s="1"/>
  <c r="E31" i="27"/>
  <c r="E17" i="27"/>
  <c r="D18" i="27"/>
  <c r="E18" i="27" s="1"/>
  <c r="B21" i="27"/>
  <c r="B22" i="27" s="1"/>
  <c r="B23" i="27" s="1"/>
  <c r="B24" i="27" s="1"/>
  <c r="B25" i="27" s="1"/>
  <c r="D45" i="26"/>
  <c r="B35" i="26"/>
  <c r="B36" i="26" s="1"/>
  <c r="B37" i="26" s="1"/>
  <c r="B38" i="26" s="1"/>
  <c r="B39" i="26" s="1"/>
  <c r="D32" i="26"/>
  <c r="E32" i="26" s="1"/>
  <c r="E31" i="26"/>
  <c r="E17" i="26"/>
  <c r="D18" i="26"/>
  <c r="E18" i="26" s="1"/>
  <c r="B21" i="26"/>
  <c r="B22" i="26" s="1"/>
  <c r="B23" i="26" s="1"/>
  <c r="B24" i="26" s="1"/>
  <c r="B25" i="26" s="1"/>
  <c r="D45" i="25"/>
  <c r="B35" i="25"/>
  <c r="B36" i="25" s="1"/>
  <c r="B37" i="25" s="1"/>
  <c r="B38" i="25" s="1"/>
  <c r="B39" i="25" s="1"/>
  <c r="D32" i="25"/>
  <c r="E32" i="25" s="1"/>
  <c r="E31" i="25"/>
  <c r="E17" i="25"/>
  <c r="D18" i="25"/>
  <c r="E18" i="25" s="1"/>
  <c r="B21" i="25"/>
  <c r="B22" i="25" s="1"/>
  <c r="B23" i="25" s="1"/>
  <c r="B24" i="25" s="1"/>
  <c r="B25" i="25" s="1"/>
  <c r="D45" i="24"/>
  <c r="B35" i="24"/>
  <c r="B36" i="24" s="1"/>
  <c r="B37" i="24" s="1"/>
  <c r="B38" i="24" s="1"/>
  <c r="B39" i="24" s="1"/>
  <c r="D32" i="24"/>
  <c r="E32" i="24" s="1"/>
  <c r="E31" i="24"/>
  <c r="E17" i="24"/>
  <c r="D18" i="24"/>
  <c r="E18" i="24" s="1"/>
  <c r="B21" i="24"/>
  <c r="B22" i="24" s="1"/>
  <c r="B23" i="24" s="1"/>
  <c r="B24" i="24" s="1"/>
  <c r="B25" i="24" s="1"/>
  <c r="D45" i="23"/>
  <c r="B35" i="23"/>
  <c r="B36" i="23" s="1"/>
  <c r="B37" i="23" s="1"/>
  <c r="B38" i="23" s="1"/>
  <c r="B39" i="23" s="1"/>
  <c r="D32" i="23"/>
  <c r="E32" i="23" s="1"/>
  <c r="E31" i="23"/>
  <c r="E17" i="23"/>
  <c r="D18" i="23"/>
  <c r="E18" i="23" s="1"/>
  <c r="B21" i="23"/>
  <c r="B22" i="23" s="1"/>
  <c r="B23" i="23" s="1"/>
  <c r="B24" i="23" s="1"/>
  <c r="B25" i="23" s="1"/>
  <c r="D45" i="22"/>
  <c r="B35" i="22"/>
  <c r="B36" i="22" s="1"/>
  <c r="B37" i="22" s="1"/>
  <c r="B38" i="22" s="1"/>
  <c r="B39" i="22" s="1"/>
  <c r="D32" i="22"/>
  <c r="E32" i="22" s="1"/>
  <c r="E31" i="22"/>
  <c r="L41" i="22"/>
  <c r="L55" i="22" s="1"/>
  <c r="L69" i="22" s="1"/>
  <c r="E17" i="22"/>
  <c r="D18" i="22"/>
  <c r="E18" i="22" s="1"/>
  <c r="B21" i="22"/>
  <c r="B22" i="22" s="1"/>
  <c r="B23" i="22" s="1"/>
  <c r="B24" i="22" s="1"/>
  <c r="B25" i="22" s="1"/>
  <c r="L13" i="23" l="1"/>
  <c r="L27" i="23" s="1"/>
  <c r="L41" i="23" s="1"/>
  <c r="L55" i="23" s="1"/>
  <c r="L69" i="23" s="1"/>
  <c r="L13" i="24" s="1"/>
  <c r="L27" i="24" s="1"/>
  <c r="L41" i="24" s="1"/>
  <c r="L55" i="24" s="1"/>
  <c r="L69" i="24" s="1"/>
  <c r="L13" i="25" s="1"/>
  <c r="L27" i="25" s="1"/>
  <c r="L41" i="25" s="1"/>
  <c r="L55" i="25" s="1"/>
  <c r="L69" i="25" s="1"/>
  <c r="L13" i="26" s="1"/>
  <c r="L27" i="26" s="1"/>
  <c r="L41" i="26" s="1"/>
  <c r="L55" i="26" s="1"/>
  <c r="L69" i="26" s="1"/>
  <c r="L13" i="27" s="1"/>
  <c r="L27" i="27" s="1"/>
  <c r="L41" i="27" s="1"/>
  <c r="L55" i="27" s="1"/>
  <c r="L69" i="27" s="1"/>
  <c r="L13" i="28" s="1"/>
  <c r="L27" i="28" s="1"/>
  <c r="L41" i="28" s="1"/>
  <c r="L55" i="28" s="1"/>
  <c r="L69" i="28" s="1"/>
  <c r="C29" i="14" s="1"/>
  <c r="D59" i="28"/>
  <c r="B49" i="28"/>
  <c r="B50" i="28" s="1"/>
  <c r="B51" i="28" s="1"/>
  <c r="B52" i="28" s="1"/>
  <c r="B53" i="28" s="1"/>
  <c r="D46" i="28"/>
  <c r="E46" i="28" s="1"/>
  <c r="E45" i="28"/>
  <c r="D59" i="27"/>
  <c r="B49" i="27"/>
  <c r="B50" i="27" s="1"/>
  <c r="B51" i="27" s="1"/>
  <c r="B52" i="27" s="1"/>
  <c r="B53" i="27" s="1"/>
  <c r="D46" i="27"/>
  <c r="E46" i="27" s="1"/>
  <c r="E45" i="27"/>
  <c r="D59" i="26"/>
  <c r="B49" i="26"/>
  <c r="B50" i="26" s="1"/>
  <c r="B51" i="26" s="1"/>
  <c r="B52" i="26" s="1"/>
  <c r="B53" i="26" s="1"/>
  <c r="D46" i="26"/>
  <c r="E46" i="26" s="1"/>
  <c r="E45" i="26"/>
  <c r="D59" i="25"/>
  <c r="B49" i="25"/>
  <c r="B50" i="25" s="1"/>
  <c r="B51" i="25" s="1"/>
  <c r="B52" i="25" s="1"/>
  <c r="B53" i="25" s="1"/>
  <c r="D46" i="25"/>
  <c r="E46" i="25" s="1"/>
  <c r="E45" i="25"/>
  <c r="D59" i="24"/>
  <c r="B49" i="24"/>
  <c r="B50" i="24" s="1"/>
  <c r="B51" i="24" s="1"/>
  <c r="B52" i="24" s="1"/>
  <c r="B53" i="24" s="1"/>
  <c r="D46" i="24"/>
  <c r="E46" i="24" s="1"/>
  <c r="E45" i="24"/>
  <c r="D59" i="23"/>
  <c r="E59" i="23" s="1"/>
  <c r="B49" i="23"/>
  <c r="B50" i="23" s="1"/>
  <c r="B51" i="23" s="1"/>
  <c r="B52" i="23" s="1"/>
  <c r="B53" i="23" s="1"/>
  <c r="D46" i="23"/>
  <c r="E46" i="23" s="1"/>
  <c r="E45" i="23"/>
  <c r="D59" i="22"/>
  <c r="B49" i="22"/>
  <c r="B50" i="22" s="1"/>
  <c r="B51" i="22" s="1"/>
  <c r="B52" i="22" s="1"/>
  <c r="B53" i="22" s="1"/>
  <c r="D46" i="22"/>
  <c r="E46" i="22" s="1"/>
  <c r="E45" i="22"/>
  <c r="E59" i="28" l="1"/>
  <c r="B63" i="28"/>
  <c r="B64" i="28" s="1"/>
  <c r="B65" i="28" s="1"/>
  <c r="B66" i="28" s="1"/>
  <c r="B67" i="28" s="1"/>
  <c r="D60" i="28"/>
  <c r="E60" i="28" s="1"/>
  <c r="E59" i="27"/>
  <c r="B63" i="27"/>
  <c r="B64" i="27" s="1"/>
  <c r="B65" i="27" s="1"/>
  <c r="B66" i="27" s="1"/>
  <c r="B67" i="27" s="1"/>
  <c r="D60" i="27"/>
  <c r="E60" i="27" s="1"/>
  <c r="E59" i="26"/>
  <c r="B63" i="26"/>
  <c r="B64" i="26" s="1"/>
  <c r="B65" i="26" s="1"/>
  <c r="B66" i="26" s="1"/>
  <c r="B67" i="26" s="1"/>
  <c r="D60" i="26"/>
  <c r="E60" i="26" s="1"/>
  <c r="E59" i="25"/>
  <c r="B63" i="25"/>
  <c r="B64" i="25" s="1"/>
  <c r="B65" i="25" s="1"/>
  <c r="B66" i="25" s="1"/>
  <c r="B67" i="25" s="1"/>
  <c r="D60" i="25"/>
  <c r="E60" i="25" s="1"/>
  <c r="E59" i="24"/>
  <c r="B63" i="24"/>
  <c r="B64" i="24" s="1"/>
  <c r="B65" i="24" s="1"/>
  <c r="B66" i="24" s="1"/>
  <c r="B67" i="24" s="1"/>
  <c r="D60" i="24"/>
  <c r="E60" i="24" s="1"/>
  <c r="B63" i="23"/>
  <c r="B64" i="23" s="1"/>
  <c r="B65" i="23" s="1"/>
  <c r="B66" i="23" s="1"/>
  <c r="B67" i="23" s="1"/>
  <c r="D60" i="23"/>
  <c r="E60" i="23" s="1"/>
  <c r="E59" i="22"/>
  <c r="B63" i="22"/>
  <c r="B64" i="22" s="1"/>
  <c r="B65" i="22" s="1"/>
  <c r="B66" i="22" s="1"/>
  <c r="B67" i="22" s="1"/>
  <c r="D60" i="22"/>
  <c r="E60" i="2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Fotis Kokkoras</author>
  </authors>
  <commentList>
    <comment ref="B16" authorId="0" shapeId="0" xr:uid="{00000000-0006-0000-0000-000001000000}">
      <text>
        <r>
          <rPr>
            <b/>
            <sz val="9"/>
            <color indexed="81"/>
            <rFont val="Tahoma"/>
            <family val="2"/>
            <charset val="161"/>
          </rPr>
          <t>στην εταιρία</t>
        </r>
      </text>
    </comment>
    <comment ref="C18" authorId="0" shapeId="0" xr:uid="{00000000-0006-0000-0000-000002000000}">
      <text>
        <r>
          <rPr>
            <b/>
            <sz val="9"/>
            <color indexed="81"/>
            <rFont val="Tahoma"/>
            <family val="2"/>
            <charset val="161"/>
          </rPr>
          <t>ο ρόλος του επόπτη στο φορέα απασχόλησης</t>
        </r>
      </text>
    </comment>
    <comment ref="C20" authorId="0" shapeId="0" xr:uid="{00000000-0006-0000-0000-000003000000}">
      <text>
        <r>
          <rPr>
            <sz val="9"/>
            <color indexed="81"/>
            <rFont val="Tahoma"/>
            <family val="2"/>
            <charset val="161"/>
          </rPr>
          <t xml:space="preserve">Πρέπει να βάλετε την ημερομηνία έναρξης όπως αυτή ορίζεται στη σύμβαση που υπογράψατε. Αν αυτή η ημερομηνία αντιστοιχεί σε Σάββατο ή Κυριακή βάλτε την επόμενη Δευτέρα. Η διάρκεια της πρακτικής είναι 3 ως 6 ημερολογιακοί μήνες, ανάλογα με το είδος της Πρακτικής, οπότε η ημερομηνία λήξης βάση σύμβασης υπολογίζεται αυτόματα.
Οι ημέρες εργασίας υπολογίζονται κατ' εκτίμηση και εφόσον συμπληρώσετε το φύλλο με τις Αργίες.
</t>
        </r>
        <r>
          <rPr>
            <b/>
            <sz val="9"/>
            <color indexed="81"/>
            <rFont val="Tahoma"/>
            <family val="2"/>
            <charset val="161"/>
          </rPr>
          <t>Ο σωστός τρόπος καταχώρισης μιας ημερομηνίας είναι αυτός που βλέπετε στο ρολόι του Η/Υ σας, στην κάτω δεξιά γωνία της οθόνης (δεν είναι δηλαδή ίδιος σε κάθε Η/Υ).</t>
        </r>
        <r>
          <rPr>
            <sz val="9"/>
            <color indexed="81"/>
            <rFont val="Tahoma"/>
            <family val="2"/>
            <charset val="161"/>
          </rPr>
          <t xml:space="preserve"> Εφόσον καταχωρίσετε σωστά την ημερομηνία και πατήσετε enter, στο κελί θα εμφανιστεί η μέρα της εβδομάδας και η ημερομηνία στην μορφή "</t>
        </r>
        <r>
          <rPr>
            <b/>
            <sz val="9"/>
            <color indexed="81"/>
            <rFont val="Tahoma"/>
            <family val="2"/>
            <charset val="161"/>
          </rPr>
          <t>μέρα έτος-μήνας-ημέρα</t>
        </r>
        <r>
          <rPr>
            <sz val="9"/>
            <color indexed="81"/>
            <rFont val="Tahoma"/>
            <family val="2"/>
            <charset val="161"/>
          </rPr>
          <t xml:space="preserve">" (αν δεν εμφανιστεί έτσι, δεν έχετε καταχωρίσει σωστά την ημερομηνία, διορθώστε το γιατί δεν θα λειτουργούν οι αυτοματισμοί του εγγράφου).
</t>
        </r>
      </text>
    </comment>
    <comment ref="B23" authorId="0" shapeId="0" xr:uid="{00000000-0006-0000-0000-000004000000}">
      <text>
        <r>
          <rPr>
            <sz val="9"/>
            <color indexed="81"/>
            <rFont val="Tahoma"/>
            <family val="2"/>
            <charset val="161"/>
          </rPr>
          <t>Δεν προσμετρώνται ημέρες που είναι επίσημες αργίες (πρέπει να τις έχετε δηλώσει στο φύλλο "Αργίες").
Εργάσιμες θεωρούνται οι ημέρες Δε-Τρ-Τε-Πε-Πα</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Fotis Kokkoras</author>
  </authors>
  <commentList>
    <comment ref="D7" authorId="0" shapeId="0" xr:uid="{00000000-0006-0000-0100-000001000000}">
      <text>
        <r>
          <rPr>
            <b/>
            <sz val="9"/>
            <color indexed="81"/>
            <rFont val="Tahoma"/>
            <family val="2"/>
            <charset val="161"/>
          </rPr>
          <t>Αφήστε κενό το κελί ωρών σε κάθε μέρα που δεν ήταν εργάσιμη.</t>
        </r>
      </text>
    </comment>
    <comment ref="F7" authorId="0" shapeId="0" xr:uid="{00000000-0006-0000-0100-000002000000}">
      <text>
        <r>
          <rPr>
            <sz val="9"/>
            <color indexed="81"/>
            <rFont val="Tahoma"/>
            <family val="2"/>
            <charset val="161"/>
          </rPr>
          <t>Σύντομη Σύνοψη Εβδομάδας</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Fotis Kokkoras</author>
  </authors>
  <commentList>
    <comment ref="D7" authorId="0" shapeId="0" xr:uid="{00000000-0006-0000-0200-000001000000}">
      <text>
        <r>
          <rPr>
            <b/>
            <sz val="9"/>
            <color indexed="81"/>
            <rFont val="Tahoma"/>
            <family val="2"/>
            <charset val="161"/>
          </rPr>
          <t>Αφήστε κενό το κελί ωρών σε κάθε μέρα που δεν ήταν εργάσιμη.</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Fotis Kokkoras</author>
  </authors>
  <commentList>
    <comment ref="D7" authorId="0" shapeId="0" xr:uid="{00000000-0006-0000-0300-000001000000}">
      <text>
        <r>
          <rPr>
            <b/>
            <sz val="9"/>
            <color indexed="81"/>
            <rFont val="Tahoma"/>
            <family val="2"/>
            <charset val="161"/>
          </rPr>
          <t>Αφήστε κενό το κελί ωρών σε κάθε μέρα που δεν ήταν εργάσιμη.</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Fotis Kokkoras</author>
  </authors>
  <commentList>
    <comment ref="D7" authorId="0" shapeId="0" xr:uid="{00000000-0006-0000-0400-000001000000}">
      <text>
        <r>
          <rPr>
            <b/>
            <sz val="9"/>
            <color indexed="81"/>
            <rFont val="Tahoma"/>
            <family val="2"/>
            <charset val="161"/>
          </rPr>
          <t>Αφήστε κενό το κελί ωρών σε κάθε μέρα που δεν ήταν εργάσιμη.</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Fotis Kokkoras</author>
  </authors>
  <commentList>
    <comment ref="D7" authorId="0" shapeId="0" xr:uid="{00000000-0006-0000-0500-000001000000}">
      <text>
        <r>
          <rPr>
            <b/>
            <sz val="9"/>
            <color indexed="81"/>
            <rFont val="Tahoma"/>
            <family val="2"/>
            <charset val="161"/>
          </rPr>
          <t>Αφήστε κενό το κελί ωρών σε κάθε μέρα που δεν ήταν εργάσιμη.</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Fotis Kokkoras</author>
  </authors>
  <commentList>
    <comment ref="D7" authorId="0" shapeId="0" xr:uid="{00000000-0006-0000-0600-000001000000}">
      <text>
        <r>
          <rPr>
            <b/>
            <sz val="9"/>
            <color indexed="81"/>
            <rFont val="Tahoma"/>
            <family val="2"/>
            <charset val="161"/>
          </rPr>
          <t>Αφήστε κενό το κελί ωρών σε κάθε μέρα που δεν ήταν εργάσιμη.</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Fotis Kokkoras</author>
  </authors>
  <commentList>
    <comment ref="B1" authorId="0" shapeId="0" xr:uid="{00000000-0006-0000-0700-000001000000}">
      <text>
        <r>
          <rPr>
            <sz val="9"/>
            <color indexed="81"/>
            <rFont val="Tahoma"/>
            <family val="2"/>
            <charset val="161"/>
          </rPr>
          <t>Αυτό το φύλλο, φυσιολογικά δεν θα χρειαστεί. Υπάρχει για περιπτώσεις που απαιτούν περισσότερες εβδομάδες και δεν έχουν προβλεφθεί.</t>
        </r>
      </text>
    </comment>
    <comment ref="D7" authorId="0" shapeId="0" xr:uid="{00000000-0006-0000-0700-000002000000}">
      <text>
        <r>
          <rPr>
            <b/>
            <sz val="9"/>
            <color indexed="81"/>
            <rFont val="Tahoma"/>
            <family val="2"/>
            <charset val="161"/>
          </rPr>
          <t>Αφήστε κενό το κελί ωρών σε κάθε μέρα που δεν ήταν εργάσιμη.</t>
        </r>
      </text>
    </comment>
  </commentList>
</comments>
</file>

<file path=xl/sharedStrings.xml><?xml version="1.0" encoding="utf-8"?>
<sst xmlns="http://schemas.openxmlformats.org/spreadsheetml/2006/main" count="478" uniqueCount="70">
  <si>
    <t>Βιβλίο Πρακτικής Άσκησης
Ασκούμενου</t>
  </si>
  <si>
    <t>v.2025-04-17</t>
  </si>
  <si>
    <t>Επώνυμο:</t>
  </si>
  <si>
    <t>Όνομα:</t>
  </si>
  <si>
    <t>Σχολή:</t>
  </si>
  <si>
    <t>Τμήμα:</t>
  </si>
  <si>
    <t>Αριθ. Μητρώου:</t>
  </si>
  <si>
    <t>Φορέας Απασχόλησης</t>
  </si>
  <si>
    <t>επωνυμία</t>
  </si>
  <si>
    <t>διεύθυνση</t>
  </si>
  <si>
    <t>τηλέφωνο &amp; email</t>
  </si>
  <si>
    <t>Επόπτης Απασχ/μενου</t>
  </si>
  <si>
    <t>Ονομ/νυμο:</t>
  </si>
  <si>
    <t>Ιδιότητα:</t>
  </si>
  <si>
    <t>Ημ/νία Έναρξης βάσει Σύμβασης:</t>
  </si>
  <si>
    <t>διαβάστε τα σχόλια του κελιού</t>
  </si>
  <si>
    <t>Δευτέρα Εβδομάδας  Έναρξης:</t>
  </si>
  <si>
    <t>Διάρκεια Πρακτικής σε Μήνες:</t>
  </si>
  <si>
    <t>Εκτίμηση ημερών εργασίας:</t>
  </si>
  <si>
    <t>Ημ/νία Λήξης βάσει Σύμβασης:</t>
  </si>
  <si>
    <t>ημερολογιακοί μήνες</t>
  </si>
  <si>
    <t>Σύνολο Δηλωμένων 
Ημερών Απασχόλησης</t>
  </si>
  <si>
    <t>Για τις Πρακτικές των πρώην ΤΕΙ, η νομοθεσία απαιτεί 150 ένσημα πρακτικής άσκησης. Κάθε μήνας στις εργάσιμες μέρες του οποίου ο απασχολούμενος ήταν διαθέσιμος για εργασία, δίνει 25 ένσημα (παρά το γεγονός ότι οι εργάσιμες ενός μήνα είναι λιγότερες από 25!). Στο κελί παραπάνω, μετρώνται οι ημέρες πρακτικής άσκησης, με βάση τα δεδομένα στα υπόλοιπα φύλλα. Συνήθως αυτός ο αριθμός είναι γύρω στο 127 (συν πλην 2-3 μέρες) για 6-μηνες Πρακτικές πρώην ΤΕΙ.</t>
  </si>
  <si>
    <t>- Πανεπιστήμιο Θεσσαλίας -</t>
  </si>
  <si>
    <t>ΕΒΔΟΜΑΔΙΑΙΟ ΦΥΛΛΟ ΠΡΑΚΤΙΚΗΣ ΑΣΚΗΣΗΣ</t>
  </si>
  <si>
    <t>ΕΒΔΟΜΑΔΑ</t>
  </si>
  <si>
    <t>από Δευτέρα:</t>
  </si>
  <si>
    <t>έως Παρασκευή:</t>
  </si>
  <si>
    <t>ΗΜΕΡΑ</t>
  </si>
  <si>
    <t>ΠΕΡΙΛΗΨΗ ΕΡΓΑΣΙΩΝ
 ΠΟΥ ΕΚΕΤΕΛΕΣΤΗΚΑΝ</t>
  </si>
  <si>
    <t>ΩΡΕΣ</t>
  </si>
  <si>
    <t>ΕΒΔΟΜΑΔΙΑΙΕΣ ΣΗΜΕΙΩΣΕΙΣ - ΠΑΡΑΤΗΡΗΣΕΙΣ ΑΣΚΟΥΜΕΝΟΥ</t>
  </si>
  <si>
    <r>
      <rPr>
        <i/>
        <sz val="11"/>
        <rFont val="Calibri"/>
        <family val="2"/>
        <charset val="161"/>
        <scheme val="minor"/>
      </rPr>
      <t xml:space="preserve">- </t>
    </r>
    <r>
      <rPr>
        <b/>
        <i/>
        <sz val="14"/>
        <rFont val="Calibri"/>
        <family val="2"/>
        <charset val="161"/>
        <scheme val="minor"/>
      </rPr>
      <t>Ο ασκούμενος γράφει ΜΟΝΟ σε πράσινα κελιά.</t>
    </r>
    <r>
      <rPr>
        <i/>
        <sz val="11"/>
        <color theme="1" tint="0.499984740745262"/>
        <rFont val="Calibri"/>
        <family val="2"/>
        <charset val="161"/>
        <scheme val="minor"/>
      </rPr>
      <t xml:space="preserve">
- Οι εβδομάδες ξεκινούν πάντα Δευτέρα και λήγουν Παρασκευή.
   Αυτό προκύπτει αυτόματα εφόσον το κελί D3 (όταν είναι πράσινο)
   συμπληρωθεί σωστά.
- Κάθε μήνας έχει χώρο 5 εβδομάδων. Χρησιμοποιήστε ΜΟΝΟ όσες
   χρειάζονται για να ολοκληρωθεί ο μήνας. Μετά αλλάξτε φύλλο.
</t>
    </r>
    <r>
      <rPr>
        <b/>
        <i/>
        <sz val="11"/>
        <color theme="1" tint="0.34998626667073579"/>
        <rFont val="Calibri"/>
        <family val="2"/>
        <charset val="161"/>
        <scheme val="minor"/>
      </rPr>
      <t xml:space="preserve">- Σε φύλλο δεδομένου μήνα, χρησιμοποήστε ΜΟΝΟ τις μέρες αυτού
   του μήνα. Τυχόν μέρες άλλων μηνών (στην αρχή ή στο τέλος του
   φύλλου) θα πρέπει να αφήνονται κενές.
- Εβδομάδα που μοιράζεται σε 2 μήνες, θα πρέπει να έχει ίδιο
   αύξοντα αριθμό. Αν δεν έχει, τότε συμπληρώσατε λάθος το D3.
</t>
    </r>
    <r>
      <rPr>
        <i/>
        <sz val="11"/>
        <color theme="1" tint="0.499984740745262"/>
        <rFont val="Calibri"/>
        <family val="2"/>
        <charset val="161"/>
        <scheme val="minor"/>
      </rPr>
      <t>- Σε ημέρες που δεν εργαστήκατε να αναγράφετε τον λόγο (π.χ. Αργία 
   Εθνική Εορτή, κτλ). και να αφήνετε ΚΕΝΟ το κελί ωρών εργασίας.</t>
    </r>
  </si>
  <si>
    <t>Σύνολο Εβδομαδιαίων Ωρών:</t>
  </si>
  <si>
    <t>Ημέρες Εργασίας Εβδομάδας:</t>
  </si>
  <si>
    <t>Σύνολο Εργάσιμων Ημερών:</t>
  </si>
  <si>
    <t>ΜΗΝΙΑΙΑ ΕΚΘΕΣΗ ΕΡΓΑΣΙΑΚΩΝ ΕΜΠΕΙΡΙΩΝ ΑΣΚΟΥΜΕΝΟΥ</t>
  </si>
  <si>
    <t>ΜΗΝΙΑΙΑ ΕΚΘΕΣΗ ΕΠΟΠΤΗ ΕΚΠΑΙΔΕΥΤΙΚΟΥ</t>
  </si>
  <si>
    <t>Απολογισμός Πρακτικής Άσκησης</t>
  </si>
  <si>
    <t>πρέπει να συμπληρωθεί υποχρεωτικά από τον ασκούμενο</t>
  </si>
  <si>
    <t>ΓΕΝΙΚΟΤΕΡΕΣ ΣΗΜΕΙΩΣΕΙΣ - ΠΑΡΑΤΗΡΗΣΕΙΣ 
ΤΟΥ ΑΣΚΟΥΜΕΝΟΥ ΓΙΑ ΤΙΣ ΕΡΓΑΣΙΑΚΕΣ ΕΜΠΕΙΡΙΕΣ</t>
  </si>
  <si>
    <t>Για αλλαγή παραγράφου μέσα στο κελί, πατήστε Alt+Enter</t>
  </si>
  <si>
    <t>(υπογραφή)</t>
  </si>
  <si>
    <t>ο ασκούμενος</t>
  </si>
  <si>
    <r>
      <t xml:space="preserve">ΓΕΝΙΚΟΤΕΡΕΣ ΣΗΜΕΙΩΣΕΙΣ - ΠΑΡΑΤΗΡΗΣΕΙΣ 
ΕΠΟΠΤΗ ΕΚΑΙΔΕΥΤΙΚΟΥ (Προαιρετικό)
</t>
    </r>
    <r>
      <rPr>
        <b/>
        <sz val="16"/>
        <color rgb="FF7A4E00"/>
        <rFont val="Cambria"/>
        <family val="1"/>
        <charset val="161"/>
        <scheme val="major"/>
      </rPr>
      <t>ΑΞΙΟΛΟΓΗΣΗ ΠΡΑΚΤΙΚΗΣ ΑΣΚΗΣΗΣ</t>
    </r>
  </si>
  <si>
    <t>ο επόπτης εκπ/κός</t>
  </si>
  <si>
    <t>Έτος</t>
  </si>
  <si>
    <t>Ημ/νία</t>
  </si>
  <si>
    <t>Σταθερές Αργίες</t>
  </si>
  <si>
    <t>Πρωτοχρονιάς</t>
  </si>
  <si>
    <t>Θεοφανείων</t>
  </si>
  <si>
    <t>25ης Μαρτίου</t>
  </si>
  <si>
    <t>Πρωτομαγιάς</t>
  </si>
  <si>
    <t>Κοίμησης Θεοτόκου</t>
  </si>
  <si>
    <t>28ης Οκτωβρίου</t>
  </si>
  <si>
    <t>Χριστουγέννων</t>
  </si>
  <si>
    <t>Σύναξης Θεοτόκου</t>
  </si>
  <si>
    <t>Άλλες Αργίες</t>
  </si>
  <si>
    <t>Καθαράς Δευτέρας</t>
  </si>
  <si>
    <t>Μεγ. Παρασκευής</t>
  </si>
  <si>
    <t>Μεγ. Σαββάτου</t>
  </si>
  <si>
    <t>Κυριακής Πάσχα</t>
  </si>
  <si>
    <t>Δευτέρας Πάσχα</t>
  </si>
  <si>
    <t>Πεντηκοστής</t>
  </si>
  <si>
    <t>Αγίου Πνεύματος</t>
  </si>
  <si>
    <t>Άλλη αργία 1</t>
  </si>
  <si>
    <t>Άλλη αργία 2</t>
  </si>
  <si>
    <t>Άλλη αργία 3</t>
  </si>
  <si>
    <t>Άλλη αργία 4</t>
  </si>
  <si>
    <t>Άλλη αργία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</si>
</sst>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d\ dd/mmm"/>
    <numFmt numFmtId="165" formatCode="dddd"/>
    <numFmt numFmtId="166" formatCode="[$-F800]dddd\,\ mmmm\ dd\,\ yyyy"/>
    <numFmt numFmtId="167" formatCode="ddd\ yyyy/mm/dd"/>
    <numFmt numFmtId="168" formatCode="ddd\,\ yyyy/mm/dd"/>
  </numFmts>
  <fonts count="50">
    <font>
      <sz val="11"/>
      <color theme="1"/>
      <name val="Calibri"/>
      <family val="2"/>
      <charset val="161"/>
      <scheme val="minor"/>
    </font>
    <font>
      <sz val="16"/>
      <color theme="1"/>
      <name val="Calibri"/>
      <family val="2"/>
      <charset val="161"/>
      <scheme val="minor"/>
    </font>
    <font>
      <sz val="18"/>
      <color theme="1"/>
      <name val="Calibri"/>
      <family val="2"/>
      <charset val="161"/>
      <scheme val="minor"/>
    </font>
    <font>
      <sz val="11"/>
      <color rgb="FF006100"/>
      <name val="Calibri"/>
      <family val="2"/>
      <charset val="161"/>
      <scheme val="minor"/>
    </font>
    <font>
      <sz val="11"/>
      <color rgb="FF9C6500"/>
      <name val="Calibri"/>
      <family val="2"/>
      <charset val="161"/>
      <scheme val="minor"/>
    </font>
    <font>
      <sz val="11"/>
      <color rgb="FF3F3F76"/>
      <name val="Calibri"/>
      <family val="2"/>
      <charset val="161"/>
      <scheme val="minor"/>
    </font>
    <font>
      <b/>
      <sz val="11"/>
      <color theme="1"/>
      <name val="Calibri"/>
      <family val="2"/>
      <charset val="161"/>
      <scheme val="minor"/>
    </font>
    <font>
      <sz val="8"/>
      <color theme="1"/>
      <name val="Calibri"/>
      <family val="2"/>
      <charset val="161"/>
      <scheme val="minor"/>
    </font>
    <font>
      <b/>
      <sz val="11"/>
      <color rgb="FF3F3F76"/>
      <name val="Calibri"/>
      <family val="2"/>
      <charset val="161"/>
      <scheme val="minor"/>
    </font>
    <font>
      <b/>
      <sz val="11"/>
      <color rgb="FF583900"/>
      <name val="Cambria"/>
      <family val="1"/>
      <charset val="161"/>
      <scheme val="major"/>
    </font>
    <font>
      <sz val="9"/>
      <color theme="0" tint="-0.34998626667073579"/>
      <name val="Calibri"/>
      <family val="2"/>
      <charset val="161"/>
      <scheme val="minor"/>
    </font>
    <font>
      <b/>
      <sz val="14"/>
      <color rgb="FFC00000"/>
      <name val="Cambria"/>
      <family val="1"/>
      <charset val="161"/>
      <scheme val="major"/>
    </font>
    <font>
      <i/>
      <sz val="11"/>
      <color rgb="FF7F7F7F"/>
      <name val="Calibri"/>
      <family val="2"/>
      <charset val="161"/>
      <scheme val="minor"/>
    </font>
    <font>
      <b/>
      <sz val="15"/>
      <color theme="1" tint="0.249977111117893"/>
      <name val="Calibri"/>
      <family val="2"/>
      <charset val="161"/>
      <scheme val="minor"/>
    </font>
    <font>
      <b/>
      <sz val="14"/>
      <color theme="1" tint="0.249977111117893"/>
      <name val="Calibri"/>
      <family val="2"/>
      <charset val="161"/>
      <scheme val="minor"/>
    </font>
    <font>
      <sz val="15"/>
      <color theme="1"/>
      <name val="Calibri"/>
      <family val="2"/>
      <charset val="161"/>
      <scheme val="minor"/>
    </font>
    <font>
      <b/>
      <sz val="15"/>
      <color theme="1"/>
      <name val="Calibri"/>
      <family val="2"/>
      <charset val="161"/>
      <scheme val="minor"/>
    </font>
    <font>
      <b/>
      <sz val="14"/>
      <color theme="1"/>
      <name val="Cambria"/>
      <family val="1"/>
      <charset val="161"/>
      <scheme val="major"/>
    </font>
    <font>
      <b/>
      <sz val="11"/>
      <color theme="1"/>
      <name val="Cambria"/>
      <family val="1"/>
      <charset val="161"/>
      <scheme val="major"/>
    </font>
    <font>
      <sz val="12"/>
      <color rgb="FF3F3F76"/>
      <name val="Calibri"/>
      <family val="2"/>
      <charset val="161"/>
      <scheme val="minor"/>
    </font>
    <font>
      <sz val="12"/>
      <name val="Calibri"/>
      <family val="2"/>
      <charset val="161"/>
      <scheme val="minor"/>
    </font>
    <font>
      <b/>
      <sz val="12"/>
      <color rgb="FF7A4E00"/>
      <name val="Cambria"/>
      <family val="1"/>
      <charset val="161"/>
      <scheme val="major"/>
    </font>
    <font>
      <b/>
      <sz val="14"/>
      <color rgb="FFC00000"/>
      <name val="Calibri"/>
      <family val="2"/>
      <charset val="161"/>
      <scheme val="minor"/>
    </font>
    <font>
      <i/>
      <sz val="11"/>
      <color theme="1" tint="0.499984740745262"/>
      <name val="Calibri"/>
      <family val="2"/>
      <charset val="161"/>
      <scheme val="minor"/>
    </font>
    <font>
      <b/>
      <sz val="12"/>
      <color theme="1"/>
      <name val="Calibri"/>
      <family val="2"/>
      <charset val="161"/>
      <scheme val="minor"/>
    </font>
    <font>
      <i/>
      <sz val="10"/>
      <color theme="1" tint="0.499984740745262"/>
      <name val="Calibri"/>
      <family val="2"/>
      <charset val="161"/>
      <scheme val="minor"/>
    </font>
    <font>
      <b/>
      <sz val="14"/>
      <color theme="1"/>
      <name val="Calibri"/>
      <family val="2"/>
      <charset val="161"/>
      <scheme val="minor"/>
    </font>
    <font>
      <b/>
      <sz val="13"/>
      <color rgb="FF7A4E00"/>
      <name val="Cambria"/>
      <family val="1"/>
      <charset val="161"/>
      <scheme val="major"/>
    </font>
    <font>
      <b/>
      <sz val="16"/>
      <color rgb="FF7A4E00"/>
      <name val="Cambria"/>
      <family val="1"/>
      <charset val="161"/>
      <scheme val="major"/>
    </font>
    <font>
      <b/>
      <sz val="18"/>
      <color theme="1"/>
      <name val="Cambria"/>
      <family val="1"/>
      <charset val="161"/>
      <scheme val="major"/>
    </font>
    <font>
      <b/>
      <sz val="22"/>
      <color theme="1"/>
      <name val="Cambria"/>
      <family val="1"/>
      <charset val="161"/>
      <scheme val="major"/>
    </font>
    <font>
      <sz val="14"/>
      <color theme="1" tint="0.249977111117893"/>
      <name val="Cambria"/>
      <family val="1"/>
      <charset val="161"/>
      <scheme val="major"/>
    </font>
    <font>
      <i/>
      <sz val="8"/>
      <color theme="1" tint="0.499984740745262"/>
      <name val="Calibri"/>
      <family val="2"/>
      <charset val="161"/>
      <scheme val="minor"/>
    </font>
    <font>
      <sz val="9"/>
      <color indexed="81"/>
      <name val="Tahoma"/>
      <family val="2"/>
      <charset val="161"/>
    </font>
    <font>
      <b/>
      <sz val="9"/>
      <color indexed="81"/>
      <name val="Tahoma"/>
      <family val="2"/>
      <charset val="161"/>
    </font>
    <font>
      <b/>
      <i/>
      <sz val="11"/>
      <color theme="1" tint="0.34998626667073579"/>
      <name val="Calibri"/>
      <family val="2"/>
      <charset val="161"/>
      <scheme val="minor"/>
    </font>
    <font>
      <sz val="9"/>
      <color theme="1" tint="0.34998626667073579"/>
      <name val="Calibri"/>
      <family val="2"/>
      <charset val="161"/>
      <scheme val="minor"/>
    </font>
    <font>
      <sz val="24"/>
      <color theme="1"/>
      <name val="Calibri"/>
      <family val="2"/>
      <charset val="161"/>
      <scheme val="minor"/>
    </font>
    <font>
      <i/>
      <sz val="10"/>
      <color theme="1" tint="0.34998626667073579"/>
      <name val="Calibri"/>
      <family val="2"/>
      <charset val="161"/>
      <scheme val="minor"/>
    </font>
    <font>
      <i/>
      <sz val="11"/>
      <name val="Calibri"/>
      <family val="2"/>
      <charset val="161"/>
      <scheme val="minor"/>
    </font>
    <font>
      <b/>
      <i/>
      <sz val="14"/>
      <name val="Calibri"/>
      <family val="2"/>
      <charset val="161"/>
      <scheme val="minor"/>
    </font>
    <font>
      <sz val="9"/>
      <color theme="0" tint="-0.499984740745262"/>
      <name val="Calibri"/>
      <family val="2"/>
      <charset val="161"/>
      <scheme val="minor"/>
    </font>
    <font>
      <sz val="11"/>
      <color theme="0" tint="-0.34998626667073579"/>
      <name val="Calibri"/>
      <family val="2"/>
      <charset val="161"/>
      <scheme val="minor"/>
    </font>
    <font>
      <b/>
      <sz val="13"/>
      <color theme="1" tint="0.249977111117893"/>
      <name val="Arial Narrow"/>
      <family val="2"/>
      <charset val="161"/>
    </font>
    <font>
      <b/>
      <sz val="11"/>
      <color rgb="FF006100"/>
      <name val="Calibri"/>
      <family val="2"/>
      <charset val="161"/>
      <scheme val="minor"/>
    </font>
    <font>
      <sz val="11"/>
      <color theme="0" tint="-0.249977111117893"/>
      <name val="Calibri"/>
      <family val="2"/>
      <charset val="161"/>
      <scheme val="minor"/>
    </font>
    <font>
      <sz val="14"/>
      <color theme="1"/>
      <name val="Calibri"/>
      <family val="2"/>
      <charset val="161"/>
      <scheme val="minor"/>
    </font>
    <font>
      <b/>
      <sz val="11"/>
      <name val="Calibri"/>
      <family val="2"/>
      <charset val="161"/>
      <scheme val="minor"/>
    </font>
    <font>
      <i/>
      <sz val="9"/>
      <color theme="1"/>
      <name val="Calibri"/>
      <family val="2"/>
      <charset val="161"/>
      <scheme val="minor"/>
    </font>
    <font>
      <i/>
      <sz val="9"/>
      <color theme="1" tint="0.499984740745262"/>
      <name val="Calibri"/>
      <family val="2"/>
      <charset val="161"/>
      <scheme val="minor"/>
    </font>
  </fonts>
  <fills count="14">
    <fill>
      <patternFill patternType="none"/>
    </fill>
    <fill>
      <patternFill patternType="gray125"/>
    </fill>
    <fill>
      <patternFill patternType="solid">
        <fgColor rgb="FFC6EFCE"/>
      </patternFill>
    </fill>
    <fill>
      <patternFill patternType="solid">
        <fgColor rgb="FFFFEB9C"/>
      </patternFill>
    </fill>
    <fill>
      <patternFill patternType="solid">
        <fgColor rgb="FFFFCC99"/>
      </patternFill>
    </fill>
    <fill>
      <patternFill patternType="solid">
        <fgColor theme="9" tint="0.59999389629810485"/>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FFEB88"/>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00B0F0"/>
        <bgColor indexed="64"/>
      </patternFill>
    </fill>
  </fills>
  <borders count="2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7F7F7F"/>
      </left>
      <right style="thin">
        <color rgb="FF7F7F7F"/>
      </right>
      <top/>
      <bottom style="thin">
        <color rgb="FF7F7F7F"/>
      </bottom>
      <diagonal/>
    </border>
    <border>
      <left style="thin">
        <color indexed="64"/>
      </left>
      <right/>
      <top/>
      <bottom/>
      <diagonal/>
    </border>
    <border>
      <left/>
      <right style="thin">
        <color indexed="64"/>
      </right>
      <top/>
      <bottom/>
      <diagonal/>
    </border>
    <border>
      <left/>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7F7F7F"/>
      </left>
      <right/>
      <top style="thin">
        <color rgb="FF7F7F7F"/>
      </top>
      <bottom style="thin">
        <color indexed="64"/>
      </bottom>
      <diagonal/>
    </border>
    <border>
      <left/>
      <right/>
      <top style="thin">
        <color rgb="FF7F7F7F"/>
      </top>
      <bottom style="thin">
        <color indexed="64"/>
      </bottom>
      <diagonal/>
    </border>
    <border>
      <left/>
      <right style="thin">
        <color rgb="FF7F7F7F"/>
      </right>
      <top style="thin">
        <color rgb="FF7F7F7F"/>
      </top>
      <bottom style="thin">
        <color indexed="64"/>
      </bottom>
      <diagonal/>
    </border>
    <border>
      <left style="medium">
        <color indexed="64"/>
      </left>
      <right/>
      <top/>
      <bottom/>
      <diagonal/>
    </border>
    <border>
      <left/>
      <right style="medium">
        <color indexed="64"/>
      </right>
      <top/>
      <bottom/>
      <diagonal/>
    </border>
  </borders>
  <cellStyleXfs count="5">
    <xf numFmtId="0" fontId="0" fillId="0" borderId="0"/>
    <xf numFmtId="0" fontId="3" fillId="2" borderId="0" applyNumberFormat="0" applyBorder="0" applyAlignment="0" applyProtection="0"/>
    <xf numFmtId="0" fontId="4" fillId="3" borderId="0" applyNumberFormat="0" applyBorder="0" applyAlignment="0" applyProtection="0"/>
    <xf numFmtId="0" fontId="5" fillId="4" borderId="5" applyNumberFormat="0" applyAlignment="0" applyProtection="0"/>
    <xf numFmtId="0" fontId="12" fillId="0" borderId="0" applyNumberFormat="0" applyFill="0" applyBorder="0" applyAlignment="0" applyProtection="0"/>
  </cellStyleXfs>
  <cellXfs count="148">
    <xf numFmtId="0" fontId="0" fillId="0" borderId="0" xfId="0"/>
    <xf numFmtId="0" fontId="0" fillId="0" borderId="0" xfId="0" applyAlignment="1">
      <alignment horizontal="center"/>
    </xf>
    <xf numFmtId="0" fontId="1" fillId="0" borderId="0" xfId="0" applyFont="1" applyAlignment="1">
      <alignment horizontal="right"/>
    </xf>
    <xf numFmtId="0" fontId="2" fillId="0" borderId="0" xfId="0" applyFont="1" applyAlignment="1">
      <alignment vertical="top"/>
    </xf>
    <xf numFmtId="0" fontId="7" fillId="0" borderId="0" xfId="0" applyFont="1" applyAlignment="1">
      <alignment horizontal="right" vertical="center"/>
    </xf>
    <xf numFmtId="0" fontId="0" fillId="0" borderId="0" xfId="0" applyAlignment="1">
      <alignment horizontal="right"/>
    </xf>
    <xf numFmtId="0" fontId="15" fillId="6" borderId="11" xfId="0" applyFont="1" applyFill="1" applyBorder="1" applyAlignment="1" applyProtection="1">
      <alignment horizontal="left" vertical="center"/>
      <protection locked="0"/>
    </xf>
    <xf numFmtId="0" fontId="15" fillId="6" borderId="17" xfId="0" applyFont="1" applyFill="1" applyBorder="1" applyAlignment="1" applyProtection="1">
      <alignment horizontal="left" vertical="center"/>
      <protection locked="0"/>
    </xf>
    <xf numFmtId="0" fontId="16" fillId="6" borderId="17" xfId="0" applyFont="1" applyFill="1" applyBorder="1" applyAlignment="1" applyProtection="1">
      <alignment horizontal="left" vertical="center"/>
      <protection locked="0"/>
    </xf>
    <xf numFmtId="0" fontId="15" fillId="6" borderId="14" xfId="0" applyFont="1" applyFill="1" applyBorder="1" applyAlignment="1" applyProtection="1">
      <alignment horizontal="left" vertical="center"/>
      <protection locked="0"/>
    </xf>
    <xf numFmtId="0" fontId="18" fillId="8" borderId="8" xfId="0" applyFont="1" applyFill="1" applyBorder="1" applyAlignment="1">
      <alignment horizontal="center"/>
    </xf>
    <xf numFmtId="0" fontId="19" fillId="5" borderId="5" xfId="3" applyFont="1" applyFill="1" applyAlignment="1" applyProtection="1">
      <alignment horizontal="right"/>
    </xf>
    <xf numFmtId="0" fontId="17" fillId="8" borderId="7" xfId="0" applyFont="1" applyFill="1" applyBorder="1" applyAlignment="1">
      <alignment horizontal="center"/>
    </xf>
    <xf numFmtId="0" fontId="21" fillId="3" borderId="5" xfId="2" applyFont="1" applyBorder="1" applyAlignment="1" applyProtection="1">
      <alignment horizontal="center" vertical="center"/>
    </xf>
    <xf numFmtId="0" fontId="21" fillId="3" borderId="5" xfId="2" applyFont="1" applyBorder="1" applyAlignment="1" applyProtection="1">
      <alignment horizontal="center" vertical="center" wrapText="1"/>
    </xf>
    <xf numFmtId="0" fontId="6" fillId="0" borderId="0" xfId="0" applyFont="1" applyAlignment="1">
      <alignment horizontal="right" vertical="center"/>
    </xf>
    <xf numFmtId="0" fontId="22" fillId="3" borderId="15" xfId="2" applyFont="1" applyBorder="1" applyAlignment="1" applyProtection="1">
      <alignment horizontal="center" vertical="center"/>
    </xf>
    <xf numFmtId="0" fontId="24" fillId="0" borderId="0" xfId="0" applyFont="1" applyAlignment="1">
      <alignment horizontal="right"/>
    </xf>
    <xf numFmtId="0" fontId="22" fillId="3" borderId="6" xfId="2" applyFont="1" applyBorder="1" applyAlignment="1" applyProtection="1">
      <alignment horizontal="center"/>
    </xf>
    <xf numFmtId="0" fontId="13" fillId="7" borderId="9" xfId="0" applyFont="1" applyFill="1" applyBorder="1" applyAlignment="1">
      <alignment horizontal="right" vertical="center" indent="1"/>
    </xf>
    <xf numFmtId="0" fontId="13" fillId="7" borderId="16" xfId="0" applyFont="1" applyFill="1" applyBorder="1" applyAlignment="1">
      <alignment horizontal="right" vertical="center" indent="1"/>
    </xf>
    <xf numFmtId="0" fontId="13" fillId="7" borderId="12" xfId="0" applyFont="1" applyFill="1" applyBorder="1" applyAlignment="1">
      <alignment horizontal="right" vertical="center" indent="1"/>
    </xf>
    <xf numFmtId="0" fontId="0" fillId="6" borderId="8" xfId="0" applyFill="1" applyBorder="1" applyAlignment="1" applyProtection="1">
      <alignment vertical="center" wrapText="1"/>
      <protection locked="0"/>
    </xf>
    <xf numFmtId="0" fontId="0" fillId="6" borderId="6" xfId="0" applyFill="1" applyBorder="1" applyAlignment="1" applyProtection="1">
      <alignment vertical="center" wrapText="1"/>
      <protection locked="0"/>
    </xf>
    <xf numFmtId="164" fontId="8" fillId="7" borderId="8" xfId="3" applyNumberFormat="1" applyFont="1" applyFill="1" applyBorder="1" applyAlignment="1" applyProtection="1">
      <alignment horizontal="center" vertical="center" wrapText="1"/>
    </xf>
    <xf numFmtId="0" fontId="0" fillId="6" borderId="8" xfId="0" applyFill="1" applyBorder="1" applyAlignment="1" applyProtection="1">
      <alignment horizontal="center" vertical="center" wrapText="1"/>
      <protection locked="0"/>
    </xf>
    <xf numFmtId="0" fontId="1" fillId="6" borderId="8" xfId="0" applyFont="1" applyFill="1" applyBorder="1" applyAlignment="1" applyProtection="1">
      <alignment horizontal="center" vertical="center"/>
      <protection locked="0"/>
    </xf>
    <xf numFmtId="164" fontId="8" fillId="7" borderId="6" xfId="3" applyNumberFormat="1" applyFont="1" applyFill="1" applyBorder="1" applyAlignment="1" applyProtection="1">
      <alignment horizontal="center" vertical="center" wrapText="1"/>
    </xf>
    <xf numFmtId="0" fontId="0" fillId="6" borderId="6" xfId="0" applyFill="1" applyBorder="1" applyAlignment="1" applyProtection="1">
      <alignment horizontal="center" vertical="center" wrapText="1"/>
      <protection locked="0"/>
    </xf>
    <xf numFmtId="0" fontId="1" fillId="6" borderId="6" xfId="0" applyFont="1" applyFill="1" applyBorder="1" applyAlignment="1" applyProtection="1">
      <alignment horizontal="center" vertical="center"/>
      <protection locked="0"/>
    </xf>
    <xf numFmtId="14" fontId="20" fillId="6" borderId="6" xfId="1" applyNumberFormat="1" applyFont="1" applyFill="1" applyBorder="1" applyAlignment="1" applyProtection="1">
      <alignment horizontal="left"/>
      <protection locked="0"/>
    </xf>
    <xf numFmtId="14" fontId="19" fillId="5" borderId="5" xfId="3" applyNumberFormat="1" applyFont="1" applyFill="1" applyAlignment="1" applyProtection="1">
      <alignment horizontal="left"/>
    </xf>
    <xf numFmtId="14" fontId="20" fillId="7" borderId="6" xfId="1" applyNumberFormat="1" applyFont="1" applyFill="1" applyBorder="1" applyAlignment="1" applyProtection="1">
      <alignment horizontal="left"/>
    </xf>
    <xf numFmtId="0" fontId="32" fillId="0" borderId="0" xfId="0" applyFont="1" applyAlignment="1">
      <alignment horizontal="left"/>
    </xf>
    <xf numFmtId="1" fontId="17" fillId="8" borderId="7" xfId="0" applyNumberFormat="1" applyFont="1" applyFill="1" applyBorder="1" applyAlignment="1">
      <alignment horizontal="center"/>
    </xf>
    <xf numFmtId="0" fontId="14" fillId="7" borderId="8" xfId="0" applyFont="1" applyFill="1" applyBorder="1" applyAlignment="1">
      <alignment horizontal="center" vertical="center"/>
    </xf>
    <xf numFmtId="0" fontId="42" fillId="7" borderId="25" xfId="0" applyFont="1" applyFill="1" applyBorder="1" applyAlignment="1">
      <alignment horizontal="right" vertical="center" indent="1"/>
    </xf>
    <xf numFmtId="0" fontId="26" fillId="7" borderId="8" xfId="0" applyFont="1" applyFill="1" applyBorder="1" applyAlignment="1">
      <alignment horizontal="center" vertical="center"/>
    </xf>
    <xf numFmtId="0" fontId="26" fillId="7" borderId="9" xfId="0" applyFont="1" applyFill="1" applyBorder="1" applyAlignment="1">
      <alignment horizontal="right" vertical="center" indent="1"/>
    </xf>
    <xf numFmtId="0" fontId="26" fillId="7" borderId="12" xfId="0" applyFont="1" applyFill="1" applyBorder="1" applyAlignment="1">
      <alignment horizontal="right" vertical="center" indent="1"/>
    </xf>
    <xf numFmtId="166" fontId="2" fillId="0" borderId="0" xfId="0" applyNumberFormat="1" applyFont="1" applyAlignment="1">
      <alignment vertical="top"/>
    </xf>
    <xf numFmtId="0" fontId="14" fillId="7" borderId="25" xfId="0" applyFont="1" applyFill="1" applyBorder="1" applyAlignment="1">
      <alignment horizontal="right" vertical="center" indent="1"/>
    </xf>
    <xf numFmtId="0" fontId="43" fillId="7" borderId="1" xfId="0" applyFont="1" applyFill="1" applyBorder="1" applyAlignment="1">
      <alignment horizontal="right" vertical="center" indent="1"/>
    </xf>
    <xf numFmtId="1" fontId="42" fillId="7" borderId="26" xfId="0" applyNumberFormat="1" applyFont="1" applyFill="1" applyBorder="1" applyAlignment="1">
      <alignment horizontal="left" vertical="center"/>
    </xf>
    <xf numFmtId="167" fontId="3" fillId="2" borderId="6" xfId="1" applyNumberFormat="1" applyBorder="1" applyProtection="1">
      <protection locked="0"/>
    </xf>
    <xf numFmtId="0" fontId="8" fillId="4" borderId="6" xfId="3" applyFont="1" applyBorder="1" applyAlignment="1" applyProtection="1">
      <alignment horizontal="center"/>
    </xf>
    <xf numFmtId="0" fontId="0" fillId="7" borderId="6" xfId="0" applyFill="1" applyBorder="1"/>
    <xf numFmtId="0" fontId="43" fillId="7" borderId="3" xfId="0" applyFont="1" applyFill="1" applyBorder="1" applyAlignment="1">
      <alignment horizontal="right" vertical="center" indent="1"/>
    </xf>
    <xf numFmtId="0" fontId="25" fillId="0" borderId="0" xfId="0" applyFont="1" applyAlignment="1">
      <alignment wrapText="1"/>
    </xf>
    <xf numFmtId="168" fontId="15" fillId="6" borderId="2" xfId="0" applyNumberFormat="1" applyFont="1" applyFill="1" applyBorder="1" applyAlignment="1" applyProtection="1">
      <alignment horizontal="left" vertical="center"/>
      <protection locked="0"/>
    </xf>
    <xf numFmtId="168" fontId="15" fillId="7" borderId="4" xfId="0" applyNumberFormat="1" applyFont="1" applyFill="1" applyBorder="1" applyAlignment="1">
      <alignment horizontal="left" vertical="center"/>
    </xf>
    <xf numFmtId="168" fontId="15" fillId="7" borderId="26" xfId="0" applyNumberFormat="1" applyFont="1" applyFill="1" applyBorder="1" applyAlignment="1">
      <alignment horizontal="left" vertical="center"/>
    </xf>
    <xf numFmtId="0" fontId="45" fillId="0" borderId="0" xfId="0" applyFont="1" applyAlignment="1">
      <alignment horizontal="center"/>
    </xf>
    <xf numFmtId="0" fontId="0" fillId="12" borderId="6" xfId="0" applyFill="1" applyBorder="1"/>
    <xf numFmtId="167" fontId="0" fillId="12" borderId="6" xfId="0" applyNumberFormat="1" applyFill="1" applyBorder="1"/>
    <xf numFmtId="1" fontId="15" fillId="6" borderId="26" xfId="0" applyNumberFormat="1" applyFont="1" applyFill="1" applyBorder="1" applyAlignment="1" applyProtection="1">
      <alignment horizontal="left" vertical="center"/>
      <protection locked="0"/>
    </xf>
    <xf numFmtId="1" fontId="48" fillId="0" borderId="0" xfId="0" applyNumberFormat="1" applyFont="1"/>
    <xf numFmtId="0" fontId="49" fillId="0" borderId="0" xfId="0" applyFont="1" applyAlignment="1">
      <alignment horizontal="left"/>
    </xf>
    <xf numFmtId="14" fontId="41" fillId="0" borderId="0" xfId="0" applyNumberFormat="1" applyFont="1"/>
    <xf numFmtId="0" fontId="30" fillId="0" borderId="0" xfId="0" applyFont="1" applyAlignment="1">
      <alignment horizontal="right" wrapText="1"/>
    </xf>
    <xf numFmtId="0" fontId="31" fillId="0" borderId="0" xfId="0" quotePrefix="1" applyFont="1" applyAlignment="1">
      <alignment horizontal="center"/>
    </xf>
    <xf numFmtId="0" fontId="31" fillId="0" borderId="0" xfId="0" applyFont="1" applyAlignment="1">
      <alignment horizontal="center"/>
    </xf>
    <xf numFmtId="0" fontId="15" fillId="6" borderId="9" xfId="0" applyFont="1" applyFill="1" applyBorder="1" applyAlignment="1" applyProtection="1">
      <alignment horizontal="left" vertical="center"/>
      <protection locked="0"/>
    </xf>
    <xf numFmtId="0" fontId="15" fillId="6" borderId="11" xfId="0" applyFont="1" applyFill="1" applyBorder="1" applyAlignment="1" applyProtection="1">
      <alignment horizontal="left" vertical="center"/>
      <protection locked="0"/>
    </xf>
    <xf numFmtId="0" fontId="15" fillId="6" borderId="12" xfId="0" applyFont="1" applyFill="1" applyBorder="1" applyAlignment="1" applyProtection="1">
      <alignment horizontal="left" vertical="center"/>
      <protection locked="0"/>
    </xf>
    <xf numFmtId="0" fontId="15" fillId="6" borderId="14" xfId="0" applyFont="1" applyFill="1" applyBorder="1" applyAlignment="1" applyProtection="1">
      <alignment horizontal="left" vertical="center"/>
      <protection locked="0"/>
    </xf>
    <xf numFmtId="0" fontId="26" fillId="7" borderId="1" xfId="0" applyFont="1" applyFill="1" applyBorder="1" applyAlignment="1">
      <alignment horizontal="right" vertical="center" wrapText="1" indent="1"/>
    </xf>
    <xf numFmtId="0" fontId="26" fillId="7" borderId="3" xfId="0" applyFont="1" applyFill="1" applyBorder="1" applyAlignment="1">
      <alignment horizontal="right" vertical="center" indent="1"/>
    </xf>
    <xf numFmtId="0" fontId="37" fillId="7" borderId="2" xfId="0" applyFont="1" applyFill="1" applyBorder="1" applyAlignment="1">
      <alignment horizontal="left" vertical="center" indent="1"/>
    </xf>
    <xf numFmtId="0" fontId="37" fillId="7" borderId="4" xfId="0" applyFont="1" applyFill="1" applyBorder="1" applyAlignment="1">
      <alignment horizontal="left" vertical="center" indent="1"/>
    </xf>
    <xf numFmtId="0" fontId="15" fillId="6" borderId="16" xfId="0" applyFont="1" applyFill="1" applyBorder="1" applyAlignment="1" applyProtection="1">
      <alignment horizontal="left" vertical="center"/>
      <protection locked="0"/>
    </xf>
    <xf numFmtId="0" fontId="15" fillId="6" borderId="17" xfId="0" applyFont="1" applyFill="1" applyBorder="1" applyAlignment="1" applyProtection="1">
      <alignment horizontal="left" vertical="center"/>
      <protection locked="0"/>
    </xf>
    <xf numFmtId="0" fontId="38" fillId="0" borderId="18" xfId="0" applyFont="1" applyBorder="1" applyAlignment="1">
      <alignment horizontal="center" vertical="center" wrapText="1"/>
    </xf>
    <xf numFmtId="0" fontId="38" fillId="0" borderId="0" xfId="0" applyFont="1" applyAlignment="1">
      <alignment horizontal="center" vertical="center" wrapText="1"/>
    </xf>
    <xf numFmtId="0" fontId="11" fillId="0" borderId="0" xfId="0" applyFont="1" applyAlignment="1">
      <alignment horizontal="center"/>
    </xf>
    <xf numFmtId="165" fontId="10" fillId="0" borderId="16" xfId="0" applyNumberFormat="1" applyFont="1" applyBorder="1" applyAlignment="1">
      <alignment horizontal="left" indent="1"/>
    </xf>
    <xf numFmtId="165" fontId="10" fillId="0" borderId="0" xfId="0" applyNumberFormat="1" applyFont="1" applyAlignment="1">
      <alignment horizontal="left" indent="1"/>
    </xf>
    <xf numFmtId="0" fontId="9" fillId="3" borderId="6" xfId="2" applyFont="1" applyBorder="1" applyAlignment="1" applyProtection="1">
      <alignment horizontal="center" vertical="center" wrapText="1"/>
    </xf>
    <xf numFmtId="165" fontId="36" fillId="0" borderId="16" xfId="0" applyNumberFormat="1" applyFont="1" applyBorder="1" applyAlignment="1">
      <alignment horizontal="left" indent="1"/>
    </xf>
    <xf numFmtId="165" fontId="36" fillId="0" borderId="0" xfId="0" applyNumberFormat="1" applyFont="1" applyAlignment="1">
      <alignment horizontal="left" indent="1"/>
    </xf>
    <xf numFmtId="0" fontId="23" fillId="9" borderId="9" xfId="4" quotePrefix="1" applyFont="1" applyFill="1" applyBorder="1" applyAlignment="1" applyProtection="1">
      <alignment horizontal="left" vertical="center" wrapText="1" indent="1"/>
    </xf>
    <xf numFmtId="0" fontId="23" fillId="9" borderId="10" xfId="4" quotePrefix="1" applyFont="1" applyFill="1" applyBorder="1" applyAlignment="1" applyProtection="1">
      <alignment horizontal="left" vertical="center" wrapText="1" indent="1"/>
    </xf>
    <xf numFmtId="0" fontId="23" fillId="9" borderId="11" xfId="4" quotePrefix="1" applyFont="1" applyFill="1" applyBorder="1" applyAlignment="1" applyProtection="1">
      <alignment horizontal="left" vertical="center" wrapText="1" indent="1"/>
    </xf>
    <xf numFmtId="0" fontId="23" fillId="9" borderId="16" xfId="4" quotePrefix="1" applyFont="1" applyFill="1" applyBorder="1" applyAlignment="1" applyProtection="1">
      <alignment horizontal="left" vertical="center" wrapText="1" indent="1"/>
    </xf>
    <xf numFmtId="0" fontId="23" fillId="9" borderId="0" xfId="4" quotePrefix="1" applyFont="1" applyFill="1" applyBorder="1" applyAlignment="1" applyProtection="1">
      <alignment horizontal="left" vertical="center" wrapText="1" indent="1"/>
    </xf>
    <xf numFmtId="0" fontId="23" fillId="9" borderId="17" xfId="4" quotePrefix="1" applyFont="1" applyFill="1" applyBorder="1" applyAlignment="1" applyProtection="1">
      <alignment horizontal="left" vertical="center" wrapText="1" indent="1"/>
    </xf>
    <xf numFmtId="0" fontId="23" fillId="9" borderId="12" xfId="4" quotePrefix="1" applyFont="1" applyFill="1" applyBorder="1" applyAlignment="1" applyProtection="1">
      <alignment horizontal="left" vertical="center" wrapText="1" indent="1"/>
    </xf>
    <xf numFmtId="0" fontId="23" fillId="9" borderId="13" xfId="4" quotePrefix="1" applyFont="1" applyFill="1" applyBorder="1" applyAlignment="1" applyProtection="1">
      <alignment horizontal="left" vertical="center" wrapText="1" indent="1"/>
    </xf>
    <xf numFmtId="0" fontId="23" fillId="9" borderId="14" xfId="4" quotePrefix="1" applyFont="1" applyFill="1" applyBorder="1" applyAlignment="1" applyProtection="1">
      <alignment horizontal="left" vertical="center" wrapText="1" indent="1"/>
    </xf>
    <xf numFmtId="0" fontId="0" fillId="6" borderId="9" xfId="0" applyFill="1" applyBorder="1" applyAlignment="1" applyProtection="1">
      <alignment horizontal="center" vertical="top" wrapText="1"/>
      <protection locked="0"/>
    </xf>
    <xf numFmtId="0" fontId="0" fillId="6" borderId="10" xfId="0" applyFill="1" applyBorder="1" applyAlignment="1" applyProtection="1">
      <alignment horizontal="center" vertical="top" wrapText="1"/>
      <protection locked="0"/>
    </xf>
    <xf numFmtId="0" fontId="0" fillId="6" borderId="11" xfId="0" applyFill="1" applyBorder="1" applyAlignment="1" applyProtection="1">
      <alignment horizontal="center" vertical="top" wrapText="1"/>
      <protection locked="0"/>
    </xf>
    <xf numFmtId="0" fontId="0" fillId="6" borderId="12" xfId="0" applyFill="1" applyBorder="1" applyAlignment="1" applyProtection="1">
      <alignment horizontal="center" vertical="top" wrapText="1"/>
      <protection locked="0"/>
    </xf>
    <xf numFmtId="0" fontId="0" fillId="6" borderId="13" xfId="0" applyFill="1" applyBorder="1" applyAlignment="1" applyProtection="1">
      <alignment horizontal="center" vertical="top" wrapText="1"/>
      <protection locked="0"/>
    </xf>
    <xf numFmtId="0" fontId="0" fillId="6" borderId="14" xfId="0" applyFill="1" applyBorder="1" applyAlignment="1" applyProtection="1">
      <alignment horizontal="center" vertical="top" wrapText="1"/>
      <protection locked="0"/>
    </xf>
    <xf numFmtId="0" fontId="0" fillId="11" borderId="19" xfId="0" applyFill="1" applyBorder="1" applyAlignment="1" applyProtection="1">
      <alignment horizontal="center" vertical="top" wrapText="1"/>
      <protection locked="0"/>
    </xf>
    <xf numFmtId="0" fontId="0" fillId="11" borderId="20" xfId="0" applyFill="1" applyBorder="1" applyAlignment="1" applyProtection="1">
      <alignment horizontal="center" vertical="top" wrapText="1"/>
      <protection locked="0"/>
    </xf>
    <xf numFmtId="0" fontId="0" fillId="11" borderId="21" xfId="0" applyFill="1" applyBorder="1" applyAlignment="1" applyProtection="1">
      <alignment horizontal="center" vertical="top" wrapText="1"/>
      <protection locked="0"/>
    </xf>
    <xf numFmtId="0" fontId="27" fillId="10" borderId="19" xfId="0" applyFont="1" applyFill="1" applyBorder="1" applyAlignment="1">
      <alignment horizontal="center"/>
    </xf>
    <xf numFmtId="0" fontId="27" fillId="10" borderId="20" xfId="0" applyFont="1" applyFill="1" applyBorder="1" applyAlignment="1">
      <alignment horizontal="center"/>
    </xf>
    <xf numFmtId="0" fontId="27" fillId="10" borderId="21" xfId="0" applyFont="1" applyFill="1" applyBorder="1" applyAlignment="1">
      <alignment horizontal="center"/>
    </xf>
    <xf numFmtId="0" fontId="23" fillId="9" borderId="9" xfId="4" quotePrefix="1" applyFont="1" applyFill="1" applyBorder="1" applyAlignment="1" applyProtection="1">
      <alignment horizontal="left" vertical="top" wrapText="1" indent="1"/>
    </xf>
    <xf numFmtId="0" fontId="23" fillId="9" borderId="10" xfId="4" quotePrefix="1" applyFont="1" applyFill="1" applyBorder="1" applyAlignment="1" applyProtection="1">
      <alignment horizontal="left" vertical="top" wrapText="1" indent="1"/>
    </xf>
    <xf numFmtId="0" fontId="23" fillId="9" borderId="11" xfId="4" quotePrefix="1" applyFont="1" applyFill="1" applyBorder="1" applyAlignment="1" applyProtection="1">
      <alignment horizontal="left" vertical="top" wrapText="1" indent="1"/>
    </xf>
    <xf numFmtId="0" fontId="23" fillId="9" borderId="16" xfId="4" quotePrefix="1" applyFont="1" applyFill="1" applyBorder="1" applyAlignment="1" applyProtection="1">
      <alignment horizontal="left" vertical="top" wrapText="1" indent="1"/>
    </xf>
    <xf numFmtId="0" fontId="23" fillId="9" borderId="0" xfId="4" quotePrefix="1" applyFont="1" applyFill="1" applyBorder="1" applyAlignment="1" applyProtection="1">
      <alignment horizontal="left" vertical="top" wrapText="1" indent="1"/>
    </xf>
    <xf numFmtId="0" fontId="23" fillId="9" borderId="17" xfId="4" quotePrefix="1" applyFont="1" applyFill="1" applyBorder="1" applyAlignment="1" applyProtection="1">
      <alignment horizontal="left" vertical="top" wrapText="1" indent="1"/>
    </xf>
    <xf numFmtId="0" fontId="23" fillId="9" borderId="12" xfId="4" quotePrefix="1" applyFont="1" applyFill="1" applyBorder="1" applyAlignment="1" applyProtection="1">
      <alignment horizontal="left" vertical="top" wrapText="1" indent="1"/>
    </xf>
    <xf numFmtId="0" fontId="23" fillId="9" borderId="13" xfId="4" quotePrefix="1" applyFont="1" applyFill="1" applyBorder="1" applyAlignment="1" applyProtection="1">
      <alignment horizontal="left" vertical="top" wrapText="1" indent="1"/>
    </xf>
    <xf numFmtId="0" fontId="23" fillId="9" borderId="14" xfId="4" quotePrefix="1" applyFont="1" applyFill="1" applyBorder="1" applyAlignment="1" applyProtection="1">
      <alignment horizontal="left" vertical="top" wrapText="1" indent="1"/>
    </xf>
    <xf numFmtId="0" fontId="0" fillId="6" borderId="9" xfId="0" applyFill="1" applyBorder="1" applyAlignment="1" applyProtection="1">
      <alignment horizontal="left" vertical="top" wrapText="1"/>
      <protection locked="0"/>
    </xf>
    <xf numFmtId="0" fontId="0" fillId="6" borderId="10" xfId="0" applyFill="1" applyBorder="1" applyAlignment="1" applyProtection="1">
      <alignment horizontal="left" vertical="top" wrapText="1"/>
      <protection locked="0"/>
    </xf>
    <xf numFmtId="0" fontId="0" fillId="6" borderId="11" xfId="0" applyFill="1" applyBorder="1" applyAlignment="1" applyProtection="1">
      <alignment horizontal="left" vertical="top" wrapText="1"/>
      <protection locked="0"/>
    </xf>
    <xf numFmtId="0" fontId="0" fillId="6" borderId="12" xfId="0" applyFill="1" applyBorder="1" applyAlignment="1" applyProtection="1">
      <alignment horizontal="left" vertical="top" wrapText="1"/>
      <protection locked="0"/>
    </xf>
    <xf numFmtId="0" fontId="0" fillId="6" borderId="13" xfId="0" applyFill="1" applyBorder="1" applyAlignment="1" applyProtection="1">
      <alignment horizontal="left" vertical="top" wrapText="1"/>
      <protection locked="0"/>
    </xf>
    <xf numFmtId="0" fontId="0" fillId="6" borderId="14" xfId="0" applyFill="1" applyBorder="1" applyAlignment="1" applyProtection="1">
      <alignment horizontal="left" vertical="top" wrapText="1"/>
      <protection locked="0"/>
    </xf>
    <xf numFmtId="0" fontId="0" fillId="6" borderId="19" xfId="0" applyFill="1" applyBorder="1" applyAlignment="1" applyProtection="1">
      <alignment horizontal="center" vertical="top" wrapText="1"/>
      <protection locked="0"/>
    </xf>
    <xf numFmtId="0" fontId="0" fillId="6" borderId="20" xfId="0" applyFill="1" applyBorder="1" applyAlignment="1" applyProtection="1">
      <alignment horizontal="center" vertical="top" wrapText="1"/>
      <protection locked="0"/>
    </xf>
    <xf numFmtId="0" fontId="0" fillId="6" borderId="21" xfId="0" applyFill="1" applyBorder="1" applyAlignment="1" applyProtection="1">
      <alignment horizontal="center" vertical="top" wrapText="1"/>
      <protection locked="0"/>
    </xf>
    <xf numFmtId="0" fontId="0" fillId="11" borderId="9" xfId="0" applyFill="1" applyBorder="1" applyAlignment="1" applyProtection="1">
      <alignment horizontal="left" vertical="top" wrapText="1"/>
      <protection locked="0"/>
    </xf>
    <xf numFmtId="0" fontId="0" fillId="11" borderId="10" xfId="0" applyFill="1" applyBorder="1" applyAlignment="1" applyProtection="1">
      <alignment horizontal="left" vertical="top" wrapText="1"/>
      <protection locked="0"/>
    </xf>
    <xf numFmtId="0" fontId="0" fillId="11" borderId="11" xfId="0" applyFill="1" applyBorder="1" applyAlignment="1" applyProtection="1">
      <alignment horizontal="left" vertical="top" wrapText="1"/>
      <protection locked="0"/>
    </xf>
    <xf numFmtId="0" fontId="0" fillId="11" borderId="16" xfId="0" applyFill="1" applyBorder="1" applyAlignment="1" applyProtection="1">
      <alignment horizontal="left" vertical="top" wrapText="1"/>
      <protection locked="0"/>
    </xf>
    <xf numFmtId="0" fontId="0" fillId="11" borderId="0" xfId="0" applyFill="1" applyAlignment="1" applyProtection="1">
      <alignment horizontal="left" vertical="top" wrapText="1"/>
      <protection locked="0"/>
    </xf>
    <xf numFmtId="0" fontId="0" fillId="11" borderId="17" xfId="0" applyFill="1" applyBorder="1" applyAlignment="1" applyProtection="1">
      <alignment horizontal="left" vertical="top" wrapText="1"/>
      <protection locked="0"/>
    </xf>
    <xf numFmtId="0" fontId="0" fillId="11" borderId="12" xfId="0" applyFill="1" applyBorder="1" applyAlignment="1" applyProtection="1">
      <alignment horizontal="left" vertical="top" wrapText="1"/>
      <protection locked="0"/>
    </xf>
    <xf numFmtId="0" fontId="0" fillId="11" borderId="13" xfId="0" applyFill="1" applyBorder="1" applyAlignment="1" applyProtection="1">
      <alignment horizontal="left" vertical="top" wrapText="1"/>
      <protection locked="0"/>
    </xf>
    <xf numFmtId="0" fontId="0" fillId="11" borderId="14" xfId="0" applyFill="1" applyBorder="1" applyAlignment="1" applyProtection="1">
      <alignment horizontal="left" vertical="top" wrapText="1"/>
      <protection locked="0"/>
    </xf>
    <xf numFmtId="0" fontId="21" fillId="3" borderId="22" xfId="2" applyFont="1" applyBorder="1" applyAlignment="1" applyProtection="1">
      <alignment horizontal="center" vertical="center" wrapText="1"/>
    </xf>
    <xf numFmtId="0" fontId="21" fillId="3" borderId="23" xfId="2" applyFont="1" applyBorder="1" applyAlignment="1" applyProtection="1">
      <alignment horizontal="center" vertical="center" wrapText="1"/>
    </xf>
    <xf numFmtId="0" fontId="21" fillId="3" borderId="24" xfId="2" applyFont="1" applyBorder="1" applyAlignment="1" applyProtection="1">
      <alignment horizontal="center" vertical="center" wrapText="1"/>
    </xf>
    <xf numFmtId="0" fontId="21" fillId="3" borderId="19" xfId="2" applyFont="1" applyBorder="1" applyAlignment="1" applyProtection="1">
      <alignment horizontal="center" vertical="center" wrapText="1"/>
    </xf>
    <xf numFmtId="0" fontId="21" fillId="3" borderId="20" xfId="2" applyFont="1" applyBorder="1" applyAlignment="1" applyProtection="1">
      <alignment horizontal="center" vertical="center" wrapText="1"/>
    </xf>
    <xf numFmtId="0" fontId="21" fillId="3" borderId="21" xfId="2" applyFont="1" applyBorder="1" applyAlignment="1" applyProtection="1">
      <alignment horizontal="center" vertical="center" wrapText="1"/>
    </xf>
    <xf numFmtId="0" fontId="25" fillId="0" borderId="10" xfId="0" applyFont="1" applyBorder="1" applyAlignment="1">
      <alignment horizontal="center"/>
    </xf>
    <xf numFmtId="0" fontId="46" fillId="0" borderId="0" xfId="0" applyFont="1" applyAlignment="1">
      <alignment horizontal="right"/>
    </xf>
    <xf numFmtId="0" fontId="46" fillId="0" borderId="0" xfId="0" applyFont="1" applyAlignment="1">
      <alignment horizontal="left"/>
    </xf>
    <xf numFmtId="0" fontId="25" fillId="0" borderId="0" xfId="0" applyFont="1" applyAlignment="1">
      <alignment horizontal="center"/>
    </xf>
    <xf numFmtId="0" fontId="29" fillId="0" borderId="0" xfId="0" applyFont="1" applyAlignment="1">
      <alignment horizontal="center"/>
    </xf>
    <xf numFmtId="0" fontId="0" fillId="6" borderId="16" xfId="0" applyFill="1" applyBorder="1" applyAlignment="1" applyProtection="1">
      <alignment horizontal="left" vertical="top" wrapText="1"/>
      <protection locked="0"/>
    </xf>
    <xf numFmtId="0" fontId="0" fillId="6" borderId="0" xfId="0" applyFill="1" applyAlignment="1" applyProtection="1">
      <alignment horizontal="left" vertical="top" wrapText="1"/>
      <protection locked="0"/>
    </xf>
    <xf numFmtId="0" fontId="0" fillId="6" borderId="17" xfId="0" applyFill="1" applyBorder="1" applyAlignment="1" applyProtection="1">
      <alignment horizontal="left" vertical="top" wrapText="1"/>
      <protection locked="0"/>
    </xf>
    <xf numFmtId="0" fontId="8" fillId="4" borderId="11" xfId="3" applyFont="1" applyBorder="1" applyAlignment="1" applyProtection="1">
      <alignment horizontal="center" vertical="center" textRotation="90"/>
    </xf>
    <xf numFmtId="0" fontId="8" fillId="4" borderId="17" xfId="3" applyFont="1" applyBorder="1" applyAlignment="1" applyProtection="1">
      <alignment horizontal="center" vertical="center" textRotation="90"/>
    </xf>
    <xf numFmtId="0" fontId="47" fillId="13" borderId="11" xfId="2" applyFont="1" applyFill="1" applyBorder="1" applyAlignment="1" applyProtection="1">
      <alignment horizontal="center" vertical="center" textRotation="90"/>
    </xf>
    <xf numFmtId="0" fontId="47" fillId="13" borderId="17" xfId="2" applyFont="1" applyFill="1" applyBorder="1" applyAlignment="1" applyProtection="1">
      <alignment horizontal="center" vertical="center" textRotation="90"/>
    </xf>
    <xf numFmtId="0" fontId="47" fillId="13" borderId="14" xfId="2" applyFont="1" applyFill="1" applyBorder="1" applyAlignment="1" applyProtection="1">
      <alignment horizontal="center" vertical="center" textRotation="90"/>
    </xf>
    <xf numFmtId="0" fontId="44" fillId="2" borderId="6" xfId="1" applyFont="1" applyBorder="1" applyAlignment="1" applyProtection="1">
      <alignment horizontal="center" vertical="center"/>
      <protection locked="0"/>
    </xf>
  </cellXfs>
  <cellStyles count="5">
    <cellStyle name="Explanatory Text" xfId="4" builtinId="53"/>
    <cellStyle name="Good" xfId="1" builtinId="26"/>
    <cellStyle name="Input" xfId="3" builtinId="20"/>
    <cellStyle name="Neutral" xfId="2" builtinId="28"/>
    <cellStyle name="Normal" xfId="0" builtinId="0"/>
  </cellStyles>
  <dxfs count="14">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7A4E00"/>
      <color rgb="FFFFEB88"/>
      <color rgb="FF3F3F76"/>
      <color rgb="FF552803"/>
      <color rgb="FF583900"/>
      <color rgb="FFFFFFCD"/>
      <color rgb="FFFFFF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104775</xdr:colOff>
      <xdr:row>4</xdr:row>
      <xdr:rowOff>152400</xdr:rowOff>
    </xdr:from>
    <xdr:to>
      <xdr:col>1</xdr:col>
      <xdr:colOff>952501</xdr:colOff>
      <xdr:row>7</xdr:row>
      <xdr:rowOff>158986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955"/>
        <a:stretch/>
      </xdr:blipFill>
      <xdr:spPr>
        <a:xfrm>
          <a:off x="476250" y="1476375"/>
          <a:ext cx="847726" cy="920986"/>
        </a:xfrm>
        <a:prstGeom prst="rect">
          <a:avLst/>
        </a:prstGeom>
      </xdr:spPr>
    </xdr:pic>
    <xdr:clientData/>
  </xdr:twoCellAnchor>
  <xdr:twoCellAnchor editAs="oneCell">
    <xdr:from>
      <xdr:col>2</xdr:col>
      <xdr:colOff>2486026</xdr:colOff>
      <xdr:row>18</xdr:row>
      <xdr:rowOff>352425</xdr:rowOff>
    </xdr:from>
    <xdr:to>
      <xdr:col>2</xdr:col>
      <xdr:colOff>3190876</xdr:colOff>
      <xdr:row>21</xdr:row>
      <xdr:rowOff>28575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067301" y="5762625"/>
          <a:ext cx="704850" cy="704850"/>
        </a:xfrm>
        <a:prstGeom prst="rect">
          <a:avLst/>
        </a:prstGeom>
      </xdr:spPr>
    </xdr:pic>
    <xdr:clientData/>
  </xdr:twoCellAnchor>
  <xdr:twoCellAnchor>
    <xdr:from>
      <xdr:col>1</xdr:col>
      <xdr:colOff>0</xdr:colOff>
      <xdr:row>0</xdr:row>
      <xdr:rowOff>180975</xdr:rowOff>
    </xdr:from>
    <xdr:to>
      <xdr:col>1</xdr:col>
      <xdr:colOff>1038225</xdr:colOff>
      <xdr:row>3</xdr:row>
      <xdr:rowOff>85725</xdr:rowOff>
    </xdr:to>
    <xdr:pic>
      <xdr:nvPicPr>
        <xdr:cNvPr id="5" name="Εικόνα 1" descr="http://www.uth.gr/images/logos/UTH-logo-greek.jpg">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71475" y="180975"/>
          <a:ext cx="1038225" cy="1038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66676</xdr:colOff>
      <xdr:row>4</xdr:row>
      <xdr:rowOff>57150</xdr:rowOff>
    </xdr:from>
    <xdr:to>
      <xdr:col>10</xdr:col>
      <xdr:colOff>542926</xdr:colOff>
      <xdr:row>11</xdr:row>
      <xdr:rowOff>257175</xdr:rowOff>
    </xdr:to>
    <xdr:sp macro="" textlink="">
      <xdr:nvSpPr>
        <xdr:cNvPr id="3" name="TextBox 2">
          <a:extLst>
            <a:ext uri="{FF2B5EF4-FFF2-40B4-BE49-F238E27FC236}">
              <a16:creationId xmlns:a16="http://schemas.microsoft.com/office/drawing/2014/main" id="{DEDF6A25-33E1-0728-0D38-C6058AA71258}"/>
            </a:ext>
          </a:extLst>
        </xdr:cNvPr>
        <xdr:cNvSpPr txBox="1"/>
      </xdr:nvSpPr>
      <xdr:spPr>
        <a:xfrm>
          <a:off x="7505701" y="1381125"/>
          <a:ext cx="2914650" cy="22860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t>Ο</a:t>
          </a:r>
          <a:r>
            <a:rPr lang="el-GR" sz="1100" baseline="0"/>
            <a:t> ασκούμενος οφείλει να συμπληρώνει τις καθημερινές δραστηριότητες (συνοπτικά) σε καθημερινή (ή στη χειρότερη σε εβδομαδιαία) βάση.</a:t>
          </a:r>
        </a:p>
        <a:p>
          <a:endParaRPr lang="el-GR" sz="1100" baseline="0"/>
        </a:p>
        <a:p>
          <a:r>
            <a:rPr lang="el-GR" sz="1100" baseline="0"/>
            <a:t>Το αρχείο παραδίδεται στην Επιτροπή Πρακτικής Άσκησης στην ολοκλήρωσή της ή και ενδιάμεσα, εφόσον ζητηθεί.</a:t>
          </a:r>
        </a:p>
        <a:p>
          <a:endParaRPr lang="el-GR" sz="1100" baseline="0"/>
        </a:p>
        <a:p>
          <a:r>
            <a:rPr lang="el-GR" sz="1100" b="1" baseline="0"/>
            <a:t>Χωρίς το παρόν αρχείο συμπληρωμένο η Επιτροπή Πρακτικής </a:t>
          </a:r>
          <a:r>
            <a:rPr lang="el-GR" sz="1100" b="1" baseline="0">
              <a:solidFill>
                <a:srgbClr val="FF0000"/>
              </a:solidFill>
            </a:rPr>
            <a:t>έχει το δικαίωμα να ακυρώσει</a:t>
          </a:r>
          <a:r>
            <a:rPr lang="el-GR" sz="1100" b="1" baseline="0"/>
            <a:t> την Πρακτική Άσκηση.</a:t>
          </a:r>
          <a:endParaRPr lang="el-GR" sz="11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523875</xdr:colOff>
      <xdr:row>65</xdr:row>
      <xdr:rowOff>628649</xdr:rowOff>
    </xdr:from>
    <xdr:to>
      <xdr:col>12</xdr:col>
      <xdr:colOff>285750</xdr:colOff>
      <xdr:row>66</xdr:row>
      <xdr:rowOff>390524</xdr:rowOff>
    </xdr:to>
    <xdr:sp macro="" textlink="">
      <xdr:nvSpPr>
        <xdr:cNvPr id="2" name="Rounded Rectangular Callout 1">
          <a:extLst>
            <a:ext uri="{FF2B5EF4-FFF2-40B4-BE49-F238E27FC236}">
              <a16:creationId xmlns:a16="http://schemas.microsoft.com/office/drawing/2014/main" id="{00000000-0008-0000-0700-000002000000}"/>
            </a:ext>
          </a:extLst>
        </xdr:cNvPr>
        <xdr:cNvSpPr/>
      </xdr:nvSpPr>
      <xdr:spPr>
        <a:xfrm>
          <a:off x="6867525" y="33146999"/>
          <a:ext cx="2428875" cy="733425"/>
        </a:xfrm>
        <a:prstGeom prst="wedgeRoundRectCallout">
          <a:avLst>
            <a:gd name="adj1" fmla="val 23481"/>
            <a:gd name="adj2" fmla="val 110965"/>
            <a:gd name="adj3" fmla="val 16667"/>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l-GR" sz="1100"/>
            <a:t>Σύνολο Εργάσιμων Ημερών για τον ασκούμενο. Η τιμή αυτή</a:t>
          </a:r>
          <a:r>
            <a:rPr lang="el-GR" sz="1100" baseline="0"/>
            <a:t> εμφανίζεται και στο φύλλο </a:t>
          </a:r>
          <a:r>
            <a:rPr lang="el-GR" sz="1100" b="1" baseline="0"/>
            <a:t>Στοιχεία Πρακτικής</a:t>
          </a:r>
          <a:r>
            <a:rPr lang="el-GR" sz="1100" baseline="0"/>
            <a:t>.</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9525</xdr:colOff>
      <xdr:row>7</xdr:row>
      <xdr:rowOff>123824</xdr:rowOff>
    </xdr:from>
    <xdr:to>
      <xdr:col>10</xdr:col>
      <xdr:colOff>381000</xdr:colOff>
      <xdr:row>20</xdr:row>
      <xdr:rowOff>171449</xdr:rowOff>
    </xdr:to>
    <xdr:sp macro="" textlink="">
      <xdr:nvSpPr>
        <xdr:cNvPr id="2" name="Rectangular Callout 1">
          <a:extLst>
            <a:ext uri="{FF2B5EF4-FFF2-40B4-BE49-F238E27FC236}">
              <a16:creationId xmlns:a16="http://schemas.microsoft.com/office/drawing/2014/main" id="{00000000-0008-0000-0900-000002000000}"/>
            </a:ext>
          </a:extLst>
        </xdr:cNvPr>
        <xdr:cNvSpPr/>
      </xdr:nvSpPr>
      <xdr:spPr>
        <a:xfrm>
          <a:off x="5981700" y="1457324"/>
          <a:ext cx="2809875" cy="2524125"/>
        </a:xfrm>
        <a:prstGeom prst="wedgeRectCallout">
          <a:avLst>
            <a:gd name="adj1" fmla="val -69847"/>
            <a:gd name="adj2" fmla="val 34821"/>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l-GR" sz="1100"/>
            <a:t>Καταχωρίστε</a:t>
          </a:r>
          <a:r>
            <a:rPr lang="el-GR" sz="1100" baseline="0"/>
            <a:t> τις επιπλέον αργίες βάζοντας μόνο την ημερομηνία. Ο σωστός τρόπος καταχώρισης μιας ημερομηνίας είναι αυτός που βλέπετε στο ρολόι του Η/Υ σας, στην κάτω δεξιά γωνία της οθόνης (δεν είναι δηλαδή ίδιος σε κάθε Η/Υ). </a:t>
          </a:r>
          <a:br>
            <a:rPr lang="el-GR" sz="1100" baseline="0"/>
          </a:br>
          <a:br>
            <a:rPr lang="el-GR" sz="1100" baseline="0"/>
          </a:br>
          <a:r>
            <a:rPr lang="el-GR" sz="1100" baseline="0"/>
            <a:t>Εφόσον καταχωρίσετε σωστά την ημερομηνία και πατήσετε </a:t>
          </a:r>
          <a:r>
            <a:rPr lang="en-US" sz="1100" baseline="0"/>
            <a:t>enter, </a:t>
          </a:r>
          <a:r>
            <a:rPr lang="el-GR" sz="1100" baseline="0"/>
            <a:t>στο κελί θα εμφανιστεί η μέρα της εβδομάδας και η ημερομηνία στην μορφή "</a:t>
          </a:r>
          <a:r>
            <a:rPr lang="el-GR" sz="1100" b="1" baseline="0"/>
            <a:t>μέρα έτος-μήνας-ημέρα</a:t>
          </a:r>
          <a:r>
            <a:rPr lang="el-GR" sz="1100" baseline="0"/>
            <a:t>" (αν δεν εμφανιστεί έτσι, δεν έχετε καταχωρίσει σωστά την ημερομηνία, διορθώστε το).</a:t>
          </a:r>
          <a:endParaRPr lang="el-GR" sz="1100"/>
        </a:p>
      </xdr:txBody>
    </xdr:sp>
    <xdr:clientData/>
  </xdr:twoCellAnchor>
  <xdr:twoCellAnchor>
    <xdr:from>
      <xdr:col>0</xdr:col>
      <xdr:colOff>952501</xdr:colOff>
      <xdr:row>16</xdr:row>
      <xdr:rowOff>152400</xdr:rowOff>
    </xdr:from>
    <xdr:to>
      <xdr:col>0</xdr:col>
      <xdr:colOff>1981201</xdr:colOff>
      <xdr:row>23</xdr:row>
      <xdr:rowOff>57150</xdr:rowOff>
    </xdr:to>
    <xdr:sp macro="" textlink="">
      <xdr:nvSpPr>
        <xdr:cNvPr id="3" name="Rectangular Callout 2">
          <a:extLst>
            <a:ext uri="{FF2B5EF4-FFF2-40B4-BE49-F238E27FC236}">
              <a16:creationId xmlns:a16="http://schemas.microsoft.com/office/drawing/2014/main" id="{00000000-0008-0000-0900-000003000000}"/>
            </a:ext>
          </a:extLst>
        </xdr:cNvPr>
        <xdr:cNvSpPr/>
      </xdr:nvSpPr>
      <xdr:spPr>
        <a:xfrm>
          <a:off x="952501" y="3200400"/>
          <a:ext cx="1028700" cy="1238250"/>
        </a:xfrm>
        <a:prstGeom prst="wedgeRectCallout">
          <a:avLst>
            <a:gd name="adj1" fmla="val 70894"/>
            <a:gd name="adj2" fmla="val 21744"/>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l-GR" sz="1100"/>
            <a:t>Βάλτε το</a:t>
          </a:r>
          <a:r>
            <a:rPr lang="el-GR" sz="1100" baseline="0"/>
            <a:t> έτος ή τα έτη στα οποία θα "τρέξει" η πρακτική σας άσκηση.</a:t>
          </a:r>
          <a:endParaRPr lang="el-GR"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2.xml"/><Relationship Id="rId1" Type="http://schemas.openxmlformats.org/officeDocument/2006/relationships/printerSettings" Target="../printerSettings/printerSettings8.bin"/><Relationship Id="rId4"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44"/>
  <sheetViews>
    <sheetView tabSelected="1" workbookViewId="0">
      <selection activeCell="C5" sqref="C5"/>
    </sheetView>
  </sheetViews>
  <sheetFormatPr defaultRowHeight="15"/>
  <cols>
    <col min="1" max="1" width="2.42578125" customWidth="1"/>
    <col min="2" max="2" width="36.28515625" style="5" customWidth="1"/>
    <col min="3" max="3" width="49.85546875" customWidth="1"/>
    <col min="4" max="4" width="4.7109375" customWidth="1"/>
  </cols>
  <sheetData>
    <row r="2" spans="1:4" ht="59.25" customHeight="1">
      <c r="B2" s="59" t="s">
        <v>0</v>
      </c>
      <c r="C2" s="59"/>
      <c r="D2" s="58" t="s">
        <v>1</v>
      </c>
    </row>
    <row r="5" spans="1:4" ht="24" customHeight="1">
      <c r="B5" s="19" t="s">
        <v>2</v>
      </c>
      <c r="C5" s="6"/>
    </row>
    <row r="6" spans="1:4" ht="24" customHeight="1">
      <c r="B6" s="20" t="s">
        <v>3</v>
      </c>
      <c r="C6" s="7"/>
    </row>
    <row r="7" spans="1:4" ht="24" customHeight="1">
      <c r="B7" s="20" t="s">
        <v>4</v>
      </c>
      <c r="C7" s="8"/>
    </row>
    <row r="8" spans="1:4" ht="24" customHeight="1">
      <c r="B8" s="20" t="s">
        <v>5</v>
      </c>
      <c r="C8" s="8"/>
    </row>
    <row r="9" spans="1:4" ht="24" customHeight="1">
      <c r="B9" s="21" t="s">
        <v>6</v>
      </c>
      <c r="C9" s="9"/>
    </row>
    <row r="10" spans="1:4" ht="21.75" customHeight="1">
      <c r="B10" s="2"/>
    </row>
    <row r="11" spans="1:4" ht="22.5" customHeight="1">
      <c r="B11" s="35" t="s">
        <v>7</v>
      </c>
      <c r="C11" s="3"/>
    </row>
    <row r="12" spans="1:4" ht="22.5" customHeight="1">
      <c r="A12" s="4">
        <v>1</v>
      </c>
      <c r="B12" s="62"/>
      <c r="C12" s="63"/>
      <c r="D12" s="57" t="s">
        <v>8</v>
      </c>
    </row>
    <row r="13" spans="1:4" ht="22.5" customHeight="1">
      <c r="A13" s="4">
        <v>2</v>
      </c>
      <c r="B13" s="70"/>
      <c r="C13" s="71"/>
      <c r="D13" s="57" t="s">
        <v>9</v>
      </c>
    </row>
    <row r="14" spans="1:4" ht="22.5" customHeight="1">
      <c r="A14" s="4">
        <v>3</v>
      </c>
      <c r="B14" s="64"/>
      <c r="C14" s="65"/>
      <c r="D14" s="57" t="s">
        <v>10</v>
      </c>
    </row>
    <row r="15" spans="1:4" ht="22.5" customHeight="1">
      <c r="A15" s="4"/>
    </row>
    <row r="16" spans="1:4" ht="22.5" customHeight="1">
      <c r="A16" s="4"/>
      <c r="B16" s="37" t="s">
        <v>11</v>
      </c>
    </row>
    <row r="17" spans="1:5" ht="22.5" customHeight="1">
      <c r="A17" s="4"/>
      <c r="B17" s="38" t="s">
        <v>12</v>
      </c>
      <c r="C17" s="6"/>
    </row>
    <row r="18" spans="1:5" ht="22.5" customHeight="1">
      <c r="A18" s="4"/>
      <c r="B18" s="39" t="s">
        <v>13</v>
      </c>
      <c r="C18" s="9"/>
      <c r="D18" s="33"/>
    </row>
    <row r="19" spans="1:5" ht="28.5" customHeight="1" thickBot="1">
      <c r="B19" s="2"/>
      <c r="C19" s="40"/>
    </row>
    <row r="20" spans="1:5" ht="26.25" customHeight="1">
      <c r="B20" s="42" t="s">
        <v>14</v>
      </c>
      <c r="C20" s="49">
        <v>45810</v>
      </c>
      <c r="D20" s="57" t="s">
        <v>15</v>
      </c>
    </row>
    <row r="21" spans="1:5" ht="26.25" customHeight="1">
      <c r="B21" s="41" t="s">
        <v>16</v>
      </c>
      <c r="C21" s="51">
        <f>C20-WEEKDAY(C20,2)+1</f>
        <v>45810</v>
      </c>
      <c r="D21" s="33"/>
    </row>
    <row r="22" spans="1:5" ht="26.25" customHeight="1">
      <c r="B22" s="41" t="s">
        <v>17</v>
      </c>
      <c r="C22" s="55">
        <v>3</v>
      </c>
      <c r="D22" s="33"/>
    </row>
    <row r="23" spans="1:5">
      <c r="B23" s="36" t="s">
        <v>18</v>
      </c>
      <c r="C23" s="43">
        <f>NETWORKDAYS(C20,C24,holidays)</f>
        <v>64</v>
      </c>
      <c r="D23" s="33"/>
    </row>
    <row r="24" spans="1:5" ht="26.25" customHeight="1" thickBot="1">
      <c r="B24" s="47" t="s">
        <v>19</v>
      </c>
      <c r="C24" s="50">
        <f>EDATE(C20,C22)-1</f>
        <v>45901</v>
      </c>
      <c r="D24" s="56">
        <f>C22</f>
        <v>3</v>
      </c>
      <c r="E24" s="57" t="s">
        <v>20</v>
      </c>
    </row>
    <row r="25" spans="1:5">
      <c r="C25" s="48"/>
    </row>
    <row r="26" spans="1:5">
      <c r="C26" s="48"/>
    </row>
    <row r="28" spans="1:5" ht="15.75" thickBot="1"/>
    <row r="29" spans="1:5" ht="22.5" customHeight="1">
      <c r="B29" s="66" t="s">
        <v>21</v>
      </c>
      <c r="C29" s="68">
        <f>extra!L69</f>
        <v>0</v>
      </c>
    </row>
    <row r="30" spans="1:5" ht="22.5" customHeight="1" thickBot="1">
      <c r="B30" s="67"/>
      <c r="C30" s="69"/>
    </row>
    <row r="31" spans="1:5" ht="25.5" customHeight="1">
      <c r="B31" s="72" t="s">
        <v>22</v>
      </c>
      <c r="C31" s="72"/>
    </row>
    <row r="32" spans="1:5" ht="25.5" customHeight="1">
      <c r="B32" s="73"/>
      <c r="C32" s="73"/>
    </row>
    <row r="33" spans="2:3" ht="25.5" customHeight="1">
      <c r="B33" s="73"/>
      <c r="C33" s="73"/>
    </row>
    <row r="35" spans="2:3" ht="18">
      <c r="B35" s="60" t="s">
        <v>23</v>
      </c>
      <c r="C35" s="61"/>
    </row>
    <row r="40" spans="2:3">
      <c r="B40"/>
    </row>
    <row r="44" spans="2:3">
      <c r="B44"/>
    </row>
  </sheetData>
  <sheetProtection algorithmName="SHA-512" hashValue="T02f21q3zy9Bdp1npp45cjlDwUCnwbktatHVrdTI8sZT0s5gWHO7atsj21nxdUdUsMBlJUhjAiaJGc/8zLsu5w==" saltValue="z4zGAAddb2188xgw2Qqslg==" spinCount="100000" sheet="1" selectLockedCells="1"/>
  <mergeCells count="8">
    <mergeCell ref="B2:C2"/>
    <mergeCell ref="B35:C35"/>
    <mergeCell ref="B12:C12"/>
    <mergeCell ref="B14:C14"/>
    <mergeCell ref="B29:B30"/>
    <mergeCell ref="C29:C30"/>
    <mergeCell ref="B13:C13"/>
    <mergeCell ref="B31:C33"/>
  </mergeCells>
  <printOptions horizontalCentered="1"/>
  <pageMargins left="0.24" right="0.35" top="0.74803149606299213" bottom="0.74803149606299213" header="0.31496062992125984" footer="0.31496062992125984"/>
  <pageSetup paperSize="9" orientation="portrait" verticalDpi="599"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N78"/>
  <sheetViews>
    <sheetView topLeftCell="A10" workbookViewId="0">
      <selection activeCell="C24" sqref="C24"/>
    </sheetView>
  </sheetViews>
  <sheetFormatPr defaultRowHeight="15"/>
  <cols>
    <col min="1" max="1" width="1.42578125" customWidth="1"/>
    <col min="2" max="2" width="14.28515625" style="1" customWidth="1"/>
    <col min="3" max="3" width="48.5703125" customWidth="1"/>
    <col min="4" max="4" width="12.140625" style="1" customWidth="1"/>
    <col min="5" max="5" width="2.7109375" customWidth="1"/>
    <col min="6" max="13" width="8" customWidth="1"/>
  </cols>
  <sheetData>
    <row r="1" spans="2:14" ht="18">
      <c r="B1" s="74" t="s">
        <v>24</v>
      </c>
      <c r="C1" s="74"/>
      <c r="D1" s="74"/>
    </row>
    <row r="3" spans="2:14" ht="18.75" customHeight="1">
      <c r="B3" s="10" t="s">
        <v>25</v>
      </c>
      <c r="C3" s="11" t="s">
        <v>26</v>
      </c>
      <c r="D3" s="32">
        <f>'Στοιχεία Πρακτικής'!C21</f>
        <v>45810</v>
      </c>
      <c r="E3" s="78">
        <f>WEEKDAY(D3)</f>
        <v>2</v>
      </c>
      <c r="F3" s="79"/>
      <c r="G3" s="79"/>
    </row>
    <row r="4" spans="2:14" ht="18.75" customHeight="1">
      <c r="B4" s="12">
        <v>1</v>
      </c>
      <c r="C4" s="11" t="s">
        <v>27</v>
      </c>
      <c r="D4" s="31">
        <f>D3+4</f>
        <v>45814</v>
      </c>
      <c r="E4" s="78">
        <f>WEEKDAY(D4)</f>
        <v>6</v>
      </c>
      <c r="F4" s="79"/>
      <c r="G4" s="79"/>
    </row>
    <row r="6" spans="2:14" ht="31.5" customHeight="1">
      <c r="B6" s="13" t="s">
        <v>28</v>
      </c>
      <c r="C6" s="14" t="s">
        <v>29</v>
      </c>
      <c r="D6" s="13" t="s">
        <v>30</v>
      </c>
      <c r="F6" s="77" t="s">
        <v>31</v>
      </c>
      <c r="G6" s="77"/>
      <c r="H6" s="77"/>
      <c r="I6" s="77"/>
      <c r="J6" s="77"/>
      <c r="K6" s="77"/>
      <c r="L6" s="77"/>
      <c r="M6" s="77"/>
    </row>
    <row r="7" spans="2:14" ht="76.5" customHeight="1">
      <c r="B7" s="24">
        <f>D3</f>
        <v>45810</v>
      </c>
      <c r="C7" s="22"/>
      <c r="D7" s="26"/>
      <c r="F7" s="89"/>
      <c r="G7" s="90"/>
      <c r="H7" s="90"/>
      <c r="I7" s="90"/>
      <c r="J7" s="90"/>
      <c r="K7" s="90"/>
      <c r="L7" s="90"/>
      <c r="M7" s="91"/>
    </row>
    <row r="8" spans="2:14" ht="76.5" customHeight="1">
      <c r="B8" s="24">
        <f>B7+1</f>
        <v>45811</v>
      </c>
      <c r="C8" s="22"/>
      <c r="D8" s="26"/>
      <c r="F8" s="92"/>
      <c r="G8" s="93"/>
      <c r="H8" s="93"/>
      <c r="I8" s="93"/>
      <c r="J8" s="93"/>
      <c r="K8" s="93"/>
      <c r="L8" s="93"/>
      <c r="M8" s="94"/>
    </row>
    <row r="9" spans="2:14" ht="76.5" customHeight="1">
      <c r="B9" s="24">
        <f>B8+1</f>
        <v>45812</v>
      </c>
      <c r="C9" s="22"/>
      <c r="D9" s="26"/>
      <c r="F9" s="80" t="s">
        <v>32</v>
      </c>
      <c r="G9" s="81"/>
      <c r="H9" s="81"/>
      <c r="I9" s="81"/>
      <c r="J9" s="81"/>
      <c r="K9" s="81"/>
      <c r="L9" s="81"/>
      <c r="M9" s="82"/>
    </row>
    <row r="10" spans="2:14" ht="76.5" customHeight="1">
      <c r="B10" s="24">
        <f>B9+1</f>
        <v>45813</v>
      </c>
      <c r="C10" s="22"/>
      <c r="D10" s="26"/>
      <c r="F10" s="83"/>
      <c r="G10" s="84"/>
      <c r="H10" s="84"/>
      <c r="I10" s="84"/>
      <c r="J10" s="84"/>
      <c r="K10" s="84"/>
      <c r="L10" s="84"/>
      <c r="M10" s="85"/>
    </row>
    <row r="11" spans="2:14" ht="76.5" customHeight="1">
      <c r="B11" s="27">
        <f>B10+1</f>
        <v>45814</v>
      </c>
      <c r="C11" s="23"/>
      <c r="D11" s="29"/>
      <c r="F11" s="86"/>
      <c r="G11" s="87"/>
      <c r="H11" s="87"/>
      <c r="I11" s="87"/>
      <c r="J11" s="87"/>
      <c r="K11" s="87"/>
      <c r="L11" s="87"/>
      <c r="M11" s="88"/>
    </row>
    <row r="12" spans="2:14" ht="19.5" customHeight="1">
      <c r="C12" s="15" t="s">
        <v>33</v>
      </c>
      <c r="D12" s="16">
        <f>SUM(D7:D11)</f>
        <v>0</v>
      </c>
    </row>
    <row r="13" spans="2:14" ht="19.5" customHeight="1">
      <c r="C13" s="15" t="s">
        <v>34</v>
      </c>
      <c r="D13" s="16">
        <f>COUNTA(D7:D11)</f>
        <v>0</v>
      </c>
      <c r="K13" s="17" t="s">
        <v>35</v>
      </c>
      <c r="L13" s="18">
        <f>D13</f>
        <v>0</v>
      </c>
    </row>
    <row r="14" spans="2:14">
      <c r="N14" s="1"/>
    </row>
    <row r="15" spans="2:14" ht="18">
      <c r="B15" s="74" t="s">
        <v>24</v>
      </c>
      <c r="C15" s="74"/>
      <c r="D15" s="74"/>
    </row>
    <row r="17" spans="2:13" ht="18.75" customHeight="1">
      <c r="B17" s="10" t="s">
        <v>25</v>
      </c>
      <c r="C17" s="11" t="s">
        <v>26</v>
      </c>
      <c r="D17" s="32">
        <f>D3+7</f>
        <v>45817</v>
      </c>
      <c r="E17" s="75">
        <f>D17</f>
        <v>45817</v>
      </c>
      <c r="F17" s="76"/>
      <c r="G17" s="76"/>
    </row>
    <row r="18" spans="2:13" ht="18.75" customHeight="1">
      <c r="B18" s="12">
        <f>B4+1</f>
        <v>2</v>
      </c>
      <c r="C18" s="11" t="s">
        <v>27</v>
      </c>
      <c r="D18" s="31">
        <f>D17+4</f>
        <v>45821</v>
      </c>
      <c r="E18" s="75">
        <f>D18</f>
        <v>45821</v>
      </c>
      <c r="F18" s="76"/>
      <c r="G18" s="76"/>
    </row>
    <row r="20" spans="2:13" ht="31.5" customHeight="1">
      <c r="B20" s="13" t="s">
        <v>28</v>
      </c>
      <c r="C20" s="14" t="s">
        <v>29</v>
      </c>
      <c r="D20" s="13" t="s">
        <v>30</v>
      </c>
      <c r="F20" s="77" t="s">
        <v>31</v>
      </c>
      <c r="G20" s="77"/>
      <c r="H20" s="77"/>
      <c r="I20" s="77"/>
      <c r="J20" s="77"/>
      <c r="K20" s="77"/>
      <c r="L20" s="77"/>
      <c r="M20" s="77"/>
    </row>
    <row r="21" spans="2:13" ht="76.5" customHeight="1">
      <c r="B21" s="24">
        <f>D17</f>
        <v>45817</v>
      </c>
      <c r="C21" s="22"/>
      <c r="D21" s="26"/>
      <c r="F21" s="110"/>
      <c r="G21" s="111"/>
      <c r="H21" s="111"/>
      <c r="I21" s="111"/>
      <c r="J21" s="111"/>
      <c r="K21" s="111"/>
      <c r="L21" s="111"/>
      <c r="M21" s="112"/>
    </row>
    <row r="22" spans="2:13" ht="76.5" customHeight="1">
      <c r="B22" s="24">
        <f>B21+1</f>
        <v>45818</v>
      </c>
      <c r="C22" s="22"/>
      <c r="D22" s="26"/>
      <c r="F22" s="113"/>
      <c r="G22" s="114"/>
      <c r="H22" s="114"/>
      <c r="I22" s="114"/>
      <c r="J22" s="114"/>
      <c r="K22" s="114"/>
      <c r="L22" s="114"/>
      <c r="M22" s="115"/>
    </row>
    <row r="23" spans="2:13" ht="76.5" customHeight="1">
      <c r="B23" s="24">
        <f>B22+1</f>
        <v>45819</v>
      </c>
      <c r="C23" s="22"/>
      <c r="D23" s="26"/>
      <c r="F23" s="101" t="str">
        <f>F9</f>
        <v>- Ο ασκούμενος γράφει ΜΟΝΟ σε πράσινα κελιά.
- Οι εβδομάδες ξεκινούν πάντα Δευτέρα και λήγουν Παρασκευή.
   Αυτό προκύπτει αυτόματα εφόσον το κελί D3 (όταν είναι πράσινο)
   συμπληρωθεί σωστά.
- Κάθε μήνας έχει χώρο 5 εβδομάδων. Χρησιμοποιήστε ΜΟΝΟ όσες
   χρειάζονται για να ολοκληρωθεί ο μήνας. Μετά αλλάξτε φύλλο.
- Σε φύλλο δεδομένου μήνα, χρησιμοποήστε ΜΟΝΟ τις μέρες αυτού
   του μήνα. Τυχόν μέρες άλλων μηνών (στην αρχή ή στο τέλος του
   φύλλου) θα πρέπει να αφήνονται κενές.
- Εβδομάδα που μοιράζεται σε 2 μήνες, θα πρέπει να έχει ίδιο
   αύξοντα αριθμό. Αν δεν έχει, τότε συμπληρώσατε λάθος το D3.
- Σε ημέρες που δεν εργαστήκατε να αναγράφετε τον λόγο (π.χ. Αργία 
   Εθνική Εορτή, κτλ). και να αφήνετε ΚΕΝΟ το κελί ωρών εργασίας.</v>
      </c>
      <c r="G23" s="102"/>
      <c r="H23" s="102"/>
      <c r="I23" s="102"/>
      <c r="J23" s="102"/>
      <c r="K23" s="102"/>
      <c r="L23" s="102"/>
      <c r="M23" s="103"/>
    </row>
    <row r="24" spans="2:13" ht="76.5" customHeight="1">
      <c r="B24" s="24">
        <f>B23+1</f>
        <v>45820</v>
      </c>
      <c r="C24" s="22"/>
      <c r="D24" s="26"/>
      <c r="F24" s="104"/>
      <c r="G24" s="105"/>
      <c r="H24" s="105"/>
      <c r="I24" s="105"/>
      <c r="J24" s="105"/>
      <c r="K24" s="105"/>
      <c r="L24" s="105"/>
      <c r="M24" s="106"/>
    </row>
    <row r="25" spans="2:13" ht="76.5" customHeight="1">
      <c r="B25" s="27">
        <f>B24+1</f>
        <v>45821</v>
      </c>
      <c r="C25" s="23"/>
      <c r="D25" s="29"/>
      <c r="F25" s="107"/>
      <c r="G25" s="108"/>
      <c r="H25" s="108"/>
      <c r="I25" s="108"/>
      <c r="J25" s="108"/>
      <c r="K25" s="108"/>
      <c r="L25" s="108"/>
      <c r="M25" s="109"/>
    </row>
    <row r="26" spans="2:13" ht="19.5" customHeight="1">
      <c r="C26" s="15" t="s">
        <v>33</v>
      </c>
      <c r="D26" s="16">
        <f>SUM(D21:D25)</f>
        <v>0</v>
      </c>
    </row>
    <row r="27" spans="2:13" ht="19.5" customHeight="1">
      <c r="C27" s="15" t="s">
        <v>34</v>
      </c>
      <c r="D27" s="16">
        <f>COUNTA(D21:D25)</f>
        <v>0</v>
      </c>
      <c r="K27" s="17" t="s">
        <v>35</v>
      </c>
      <c r="L27" s="18">
        <f>D27+L13</f>
        <v>0</v>
      </c>
    </row>
    <row r="29" spans="2:13" ht="18">
      <c r="B29" s="74" t="s">
        <v>24</v>
      </c>
      <c r="C29" s="74"/>
      <c r="D29" s="74"/>
    </row>
    <row r="31" spans="2:13" ht="18.75" customHeight="1">
      <c r="B31" s="10" t="s">
        <v>25</v>
      </c>
      <c r="C31" s="11" t="s">
        <v>26</v>
      </c>
      <c r="D31" s="32">
        <f>D17+7</f>
        <v>45824</v>
      </c>
      <c r="E31" s="75">
        <f>D31</f>
        <v>45824</v>
      </c>
      <c r="F31" s="76"/>
      <c r="G31" s="76"/>
    </row>
    <row r="32" spans="2:13" ht="18.75" customHeight="1">
      <c r="B32" s="12">
        <f>B18+1</f>
        <v>3</v>
      </c>
      <c r="C32" s="11" t="s">
        <v>27</v>
      </c>
      <c r="D32" s="31">
        <f>D31+4</f>
        <v>45828</v>
      </c>
      <c r="E32" s="75">
        <f>D32</f>
        <v>45828</v>
      </c>
      <c r="F32" s="76"/>
      <c r="G32" s="76"/>
    </row>
    <row r="34" spans="2:13" ht="31.5" customHeight="1">
      <c r="B34" s="13" t="s">
        <v>28</v>
      </c>
      <c r="C34" s="14" t="s">
        <v>29</v>
      </c>
      <c r="D34" s="13" t="s">
        <v>30</v>
      </c>
      <c r="F34" s="77" t="s">
        <v>31</v>
      </c>
      <c r="G34" s="77"/>
      <c r="H34" s="77"/>
      <c r="I34" s="77"/>
      <c r="J34" s="77"/>
      <c r="K34" s="77"/>
      <c r="L34" s="77"/>
      <c r="M34" s="77"/>
    </row>
    <row r="35" spans="2:13" ht="76.5" customHeight="1">
      <c r="B35" s="24">
        <f>D31</f>
        <v>45824</v>
      </c>
      <c r="C35" s="25"/>
      <c r="D35" s="26"/>
      <c r="F35" s="110"/>
      <c r="G35" s="111"/>
      <c r="H35" s="111"/>
      <c r="I35" s="111"/>
      <c r="J35" s="111"/>
      <c r="K35" s="111"/>
      <c r="L35" s="111"/>
      <c r="M35" s="112"/>
    </row>
    <row r="36" spans="2:13" ht="76.5" customHeight="1">
      <c r="B36" s="24">
        <f>B35+1</f>
        <v>45825</v>
      </c>
      <c r="C36" s="25"/>
      <c r="D36" s="26"/>
      <c r="F36" s="113"/>
      <c r="G36" s="114"/>
      <c r="H36" s="114"/>
      <c r="I36" s="114"/>
      <c r="J36" s="114"/>
      <c r="K36" s="114"/>
      <c r="L36" s="114"/>
      <c r="M36" s="115"/>
    </row>
    <row r="37" spans="2:13" ht="76.5" customHeight="1">
      <c r="B37" s="24">
        <f>B36+1</f>
        <v>45826</v>
      </c>
      <c r="C37" s="25"/>
      <c r="D37" s="26"/>
      <c r="F37" s="101" t="str">
        <f>F9</f>
        <v>- Ο ασκούμενος γράφει ΜΟΝΟ σε πράσινα κελιά.
- Οι εβδομάδες ξεκινούν πάντα Δευτέρα και λήγουν Παρασκευή.
   Αυτό προκύπτει αυτόματα εφόσον το κελί D3 (όταν είναι πράσινο)
   συμπληρωθεί σωστά.
- Κάθε μήνας έχει χώρο 5 εβδομάδων. Χρησιμοποιήστε ΜΟΝΟ όσες
   χρειάζονται για να ολοκληρωθεί ο μήνας. Μετά αλλάξτε φύλλο.
- Σε φύλλο δεδομένου μήνα, χρησιμοποήστε ΜΟΝΟ τις μέρες αυτού
   του μήνα. Τυχόν μέρες άλλων μηνών (στην αρχή ή στο τέλος του
   φύλλου) θα πρέπει να αφήνονται κενές.
- Εβδομάδα που μοιράζεται σε 2 μήνες, θα πρέπει να έχει ίδιο
   αύξοντα αριθμό. Αν δεν έχει, τότε συμπληρώσατε λάθος το D3.
- Σε ημέρες που δεν εργαστήκατε να αναγράφετε τον λόγο (π.χ. Αργία 
   Εθνική Εορτή, κτλ). και να αφήνετε ΚΕΝΟ το κελί ωρών εργασίας.</v>
      </c>
      <c r="G37" s="102"/>
      <c r="H37" s="102"/>
      <c r="I37" s="102"/>
      <c r="J37" s="102"/>
      <c r="K37" s="102"/>
      <c r="L37" s="102"/>
      <c r="M37" s="103"/>
    </row>
    <row r="38" spans="2:13" ht="76.5" customHeight="1">
      <c r="B38" s="24">
        <f>B37+1</f>
        <v>45827</v>
      </c>
      <c r="C38" s="25"/>
      <c r="D38" s="26"/>
      <c r="F38" s="104"/>
      <c r="G38" s="105"/>
      <c r="H38" s="105"/>
      <c r="I38" s="105"/>
      <c r="J38" s="105"/>
      <c r="K38" s="105"/>
      <c r="L38" s="105"/>
      <c r="M38" s="106"/>
    </row>
    <row r="39" spans="2:13" ht="76.5" customHeight="1">
      <c r="B39" s="27">
        <f>B38+1</f>
        <v>45828</v>
      </c>
      <c r="C39" s="28"/>
      <c r="D39" s="29"/>
      <c r="F39" s="107"/>
      <c r="G39" s="108"/>
      <c r="H39" s="108"/>
      <c r="I39" s="108"/>
      <c r="J39" s="108"/>
      <c r="K39" s="108"/>
      <c r="L39" s="108"/>
      <c r="M39" s="109"/>
    </row>
    <row r="40" spans="2:13" ht="19.5" customHeight="1">
      <c r="C40" s="15" t="s">
        <v>33</v>
      </c>
      <c r="D40" s="16">
        <f>SUM(D35:D39)</f>
        <v>0</v>
      </c>
    </row>
    <row r="41" spans="2:13" ht="19.5" customHeight="1">
      <c r="C41" s="15" t="s">
        <v>34</v>
      </c>
      <c r="D41" s="16">
        <f>COUNTA(D35:D39)</f>
        <v>0</v>
      </c>
      <c r="K41" s="17" t="s">
        <v>35</v>
      </c>
      <c r="L41" s="18">
        <f>D41+L27</f>
        <v>0</v>
      </c>
    </row>
    <row r="43" spans="2:13" ht="18">
      <c r="B43" s="74" t="s">
        <v>24</v>
      </c>
      <c r="C43" s="74"/>
      <c r="D43" s="74"/>
    </row>
    <row r="45" spans="2:13" ht="18.75" customHeight="1">
      <c r="B45" s="10" t="s">
        <v>25</v>
      </c>
      <c r="C45" s="11" t="s">
        <v>26</v>
      </c>
      <c r="D45" s="32">
        <f>D31+7</f>
        <v>45831</v>
      </c>
      <c r="E45" s="75">
        <f>D45</f>
        <v>45831</v>
      </c>
      <c r="F45" s="76"/>
      <c r="G45" s="76"/>
    </row>
    <row r="46" spans="2:13" ht="18.75" customHeight="1">
      <c r="B46" s="12">
        <f>B32+1</f>
        <v>4</v>
      </c>
      <c r="C46" s="11" t="s">
        <v>27</v>
      </c>
      <c r="D46" s="31">
        <f>D45+4</f>
        <v>45835</v>
      </c>
      <c r="E46" s="75">
        <f>D46</f>
        <v>45835</v>
      </c>
      <c r="F46" s="76"/>
      <c r="G46" s="76"/>
    </row>
    <row r="48" spans="2:13" ht="31.5" customHeight="1">
      <c r="B48" s="13" t="s">
        <v>28</v>
      </c>
      <c r="C48" s="14" t="s">
        <v>29</v>
      </c>
      <c r="D48" s="13" t="s">
        <v>30</v>
      </c>
      <c r="F48" s="77" t="s">
        <v>31</v>
      </c>
      <c r="G48" s="77"/>
      <c r="H48" s="77"/>
      <c r="I48" s="77"/>
      <c r="J48" s="77"/>
      <c r="K48" s="77"/>
      <c r="L48" s="77"/>
      <c r="M48" s="77"/>
    </row>
    <row r="49" spans="2:13" ht="76.5" customHeight="1">
      <c r="B49" s="24">
        <f>D45</f>
        <v>45831</v>
      </c>
      <c r="C49" s="25"/>
      <c r="D49" s="26"/>
      <c r="F49" s="110"/>
      <c r="G49" s="111"/>
      <c r="H49" s="111"/>
      <c r="I49" s="111"/>
      <c r="J49" s="111"/>
      <c r="K49" s="111"/>
      <c r="L49" s="111"/>
      <c r="M49" s="112"/>
    </row>
    <row r="50" spans="2:13" ht="76.5" customHeight="1">
      <c r="B50" s="24">
        <f>B49+1</f>
        <v>45832</v>
      </c>
      <c r="C50" s="25"/>
      <c r="D50" s="26"/>
      <c r="F50" s="113"/>
      <c r="G50" s="114"/>
      <c r="H50" s="114"/>
      <c r="I50" s="114"/>
      <c r="J50" s="114"/>
      <c r="K50" s="114"/>
      <c r="L50" s="114"/>
      <c r="M50" s="115"/>
    </row>
    <row r="51" spans="2:13" ht="76.5" customHeight="1">
      <c r="B51" s="24">
        <f>B50+1</f>
        <v>45833</v>
      </c>
      <c r="C51" s="25"/>
      <c r="D51" s="26"/>
      <c r="F51" s="101" t="str">
        <f>F9</f>
        <v>- Ο ασκούμενος γράφει ΜΟΝΟ σε πράσινα κελιά.
- Οι εβδομάδες ξεκινούν πάντα Δευτέρα και λήγουν Παρασκευή.
   Αυτό προκύπτει αυτόματα εφόσον το κελί D3 (όταν είναι πράσινο)
   συμπληρωθεί σωστά.
- Κάθε μήνας έχει χώρο 5 εβδομάδων. Χρησιμοποιήστε ΜΟΝΟ όσες
   χρειάζονται για να ολοκληρωθεί ο μήνας. Μετά αλλάξτε φύλλο.
- Σε φύλλο δεδομένου μήνα, χρησιμοποήστε ΜΟΝΟ τις μέρες αυτού
   του μήνα. Τυχόν μέρες άλλων μηνών (στην αρχή ή στο τέλος του
   φύλλου) θα πρέπει να αφήνονται κενές.
- Εβδομάδα που μοιράζεται σε 2 μήνες, θα πρέπει να έχει ίδιο
   αύξοντα αριθμό. Αν δεν έχει, τότε συμπληρώσατε λάθος το D3.
- Σε ημέρες που δεν εργαστήκατε να αναγράφετε τον λόγο (π.χ. Αργία 
   Εθνική Εορτή, κτλ). και να αφήνετε ΚΕΝΟ το κελί ωρών εργασίας.</v>
      </c>
      <c r="G51" s="102"/>
      <c r="H51" s="102"/>
      <c r="I51" s="102"/>
      <c r="J51" s="102"/>
      <c r="K51" s="102"/>
      <c r="L51" s="102"/>
      <c r="M51" s="103"/>
    </row>
    <row r="52" spans="2:13" ht="76.5" customHeight="1">
      <c r="B52" s="24">
        <f>B51+1</f>
        <v>45834</v>
      </c>
      <c r="C52" s="25"/>
      <c r="D52" s="26"/>
      <c r="F52" s="104"/>
      <c r="G52" s="105"/>
      <c r="H52" s="105"/>
      <c r="I52" s="105"/>
      <c r="J52" s="105"/>
      <c r="K52" s="105"/>
      <c r="L52" s="105"/>
      <c r="M52" s="106"/>
    </row>
    <row r="53" spans="2:13" ht="76.5" customHeight="1">
      <c r="B53" s="27">
        <f>B52+1</f>
        <v>45835</v>
      </c>
      <c r="C53" s="28"/>
      <c r="D53" s="29"/>
      <c r="F53" s="107"/>
      <c r="G53" s="108"/>
      <c r="H53" s="108"/>
      <c r="I53" s="108"/>
      <c r="J53" s="108"/>
      <c r="K53" s="108"/>
      <c r="L53" s="108"/>
      <c r="M53" s="109"/>
    </row>
    <row r="54" spans="2:13" ht="19.5" customHeight="1">
      <c r="C54" s="15" t="s">
        <v>33</v>
      </c>
      <c r="D54" s="16">
        <f>SUM(D49:D53)</f>
        <v>0</v>
      </c>
    </row>
    <row r="55" spans="2:13" ht="19.5" customHeight="1">
      <c r="C55" s="15" t="s">
        <v>34</v>
      </c>
      <c r="D55" s="16">
        <f>COUNTA(D49:D53)</f>
        <v>0</v>
      </c>
      <c r="K55" s="17" t="s">
        <v>35</v>
      </c>
      <c r="L55" s="18">
        <f>D55+L41</f>
        <v>0</v>
      </c>
    </row>
    <row r="57" spans="2:13" ht="18">
      <c r="B57" s="74" t="s">
        <v>24</v>
      </c>
      <c r="C57" s="74"/>
      <c r="D57" s="74"/>
    </row>
    <row r="59" spans="2:13" ht="18.75" customHeight="1">
      <c r="B59" s="10" t="s">
        <v>25</v>
      </c>
      <c r="C59" s="11" t="s">
        <v>26</v>
      </c>
      <c r="D59" s="32">
        <f>D45+7</f>
        <v>45838</v>
      </c>
      <c r="E59" s="75">
        <f>D59</f>
        <v>45838</v>
      </c>
      <c r="F59" s="76"/>
      <c r="G59" s="76"/>
    </row>
    <row r="60" spans="2:13" ht="18.75" customHeight="1">
      <c r="B60" s="12">
        <f>B46+1</f>
        <v>5</v>
      </c>
      <c r="C60" s="11" t="s">
        <v>27</v>
      </c>
      <c r="D60" s="31">
        <f>D59+4</f>
        <v>45842</v>
      </c>
      <c r="E60" s="75">
        <f>D60</f>
        <v>45842</v>
      </c>
      <c r="F60" s="76"/>
      <c r="G60" s="76"/>
    </row>
    <row r="62" spans="2:13" ht="31.5" customHeight="1">
      <c r="B62" s="13" t="s">
        <v>28</v>
      </c>
      <c r="C62" s="14" t="s">
        <v>29</v>
      </c>
      <c r="D62" s="13" t="s">
        <v>30</v>
      </c>
      <c r="F62" s="77" t="s">
        <v>31</v>
      </c>
      <c r="G62" s="77"/>
      <c r="H62" s="77"/>
      <c r="I62" s="77"/>
      <c r="J62" s="77"/>
      <c r="K62" s="77"/>
      <c r="L62" s="77"/>
      <c r="M62" s="77"/>
    </row>
    <row r="63" spans="2:13" ht="76.5" customHeight="1">
      <c r="B63" s="24">
        <f>D59</f>
        <v>45838</v>
      </c>
      <c r="C63" s="25"/>
      <c r="D63" s="26"/>
      <c r="F63" s="110"/>
      <c r="G63" s="111"/>
      <c r="H63" s="111"/>
      <c r="I63" s="111"/>
      <c r="J63" s="111"/>
      <c r="K63" s="111"/>
      <c r="L63" s="111"/>
      <c r="M63" s="112"/>
    </row>
    <row r="64" spans="2:13" ht="76.5" customHeight="1">
      <c r="B64" s="24">
        <f>B63+1</f>
        <v>45839</v>
      </c>
      <c r="C64" s="25"/>
      <c r="D64" s="26"/>
      <c r="F64" s="113"/>
      <c r="G64" s="114"/>
      <c r="H64" s="114"/>
      <c r="I64" s="114"/>
      <c r="J64" s="114"/>
      <c r="K64" s="114"/>
      <c r="L64" s="114"/>
      <c r="M64" s="115"/>
    </row>
    <row r="65" spans="2:13" ht="76.5" customHeight="1">
      <c r="B65" s="24">
        <f>B64+1</f>
        <v>45840</v>
      </c>
      <c r="C65" s="25"/>
      <c r="D65" s="26"/>
      <c r="F65" s="101" t="str">
        <f>F9</f>
        <v>- Ο ασκούμενος γράφει ΜΟΝΟ σε πράσινα κελιά.
- Οι εβδομάδες ξεκινούν πάντα Δευτέρα και λήγουν Παρασκευή.
   Αυτό προκύπτει αυτόματα εφόσον το κελί D3 (όταν είναι πράσινο)
   συμπληρωθεί σωστά.
- Κάθε μήνας έχει χώρο 5 εβδομάδων. Χρησιμοποιήστε ΜΟΝΟ όσες
   χρειάζονται για να ολοκληρωθεί ο μήνας. Μετά αλλάξτε φύλλο.
- Σε φύλλο δεδομένου μήνα, χρησιμοποήστε ΜΟΝΟ τις μέρες αυτού
   του μήνα. Τυχόν μέρες άλλων μηνών (στην αρχή ή στο τέλος του
   φύλλου) θα πρέπει να αφήνονται κενές.
- Εβδομάδα που μοιράζεται σε 2 μήνες, θα πρέπει να έχει ίδιο
   αύξοντα αριθμό. Αν δεν έχει, τότε συμπληρώσατε λάθος το D3.
- Σε ημέρες που δεν εργαστήκατε να αναγράφετε τον λόγο (π.χ. Αργία 
   Εθνική Εορτή, κτλ). και να αφήνετε ΚΕΝΟ το κελί ωρών εργασίας.</v>
      </c>
      <c r="G65" s="102"/>
      <c r="H65" s="102"/>
      <c r="I65" s="102"/>
      <c r="J65" s="102"/>
      <c r="K65" s="102"/>
      <c r="L65" s="102"/>
      <c r="M65" s="103"/>
    </row>
    <row r="66" spans="2:13" ht="76.5" customHeight="1">
      <c r="B66" s="24">
        <f>B65+1</f>
        <v>45841</v>
      </c>
      <c r="C66" s="25"/>
      <c r="D66" s="26"/>
      <c r="F66" s="104"/>
      <c r="G66" s="105"/>
      <c r="H66" s="105"/>
      <c r="I66" s="105"/>
      <c r="J66" s="105"/>
      <c r="K66" s="105"/>
      <c r="L66" s="105"/>
      <c r="M66" s="106"/>
    </row>
    <row r="67" spans="2:13" ht="76.5" customHeight="1">
      <c r="B67" s="27">
        <f>B66+1</f>
        <v>45842</v>
      </c>
      <c r="C67" s="28"/>
      <c r="D67" s="29"/>
      <c r="F67" s="107"/>
      <c r="G67" s="108"/>
      <c r="H67" s="108"/>
      <c r="I67" s="108"/>
      <c r="J67" s="108"/>
      <c r="K67" s="108"/>
      <c r="L67" s="108"/>
      <c r="M67" s="109"/>
    </row>
    <row r="68" spans="2:13" ht="19.5" customHeight="1">
      <c r="C68" s="15" t="s">
        <v>33</v>
      </c>
      <c r="D68" s="16">
        <f>SUM(D63:D67)</f>
        <v>0</v>
      </c>
    </row>
    <row r="69" spans="2:13" ht="19.5" customHeight="1">
      <c r="C69" s="15" t="s">
        <v>34</v>
      </c>
      <c r="D69" s="16">
        <f>COUNTA(D63:D67)</f>
        <v>0</v>
      </c>
      <c r="K69" s="17" t="s">
        <v>35</v>
      </c>
      <c r="L69" s="18">
        <f>D69+L55</f>
        <v>0</v>
      </c>
    </row>
    <row r="73" spans="2:13" ht="16.5">
      <c r="B73" s="98" t="s">
        <v>36</v>
      </c>
      <c r="C73" s="99"/>
      <c r="D73" s="100"/>
    </row>
    <row r="74" spans="2:13" ht="150" customHeight="1">
      <c r="B74" s="116"/>
      <c r="C74" s="117"/>
      <c r="D74" s="118"/>
    </row>
    <row r="77" spans="2:13" ht="16.5">
      <c r="B77" s="98" t="s">
        <v>37</v>
      </c>
      <c r="C77" s="99"/>
      <c r="D77" s="100"/>
    </row>
    <row r="78" spans="2:13" ht="150" customHeight="1">
      <c r="B78" s="95"/>
      <c r="C78" s="96"/>
      <c r="D78" s="97"/>
    </row>
  </sheetData>
  <sheetProtection algorithmName="SHA-512" hashValue="rKaAC6hekMr3IiwJgrjY7D7EddsQhN055UblR8UoExP0SW8MbsCNnpYNewiXaUfu6B3DT6IJU0nWw50xVr+uig==" saltValue="Ua/j0Uly+Ade5Hfz5Rrl0g==" spinCount="100000" sheet="1" objects="1" scenarios="1" selectLockedCells="1"/>
  <mergeCells count="34">
    <mergeCell ref="F21:M22"/>
    <mergeCell ref="F35:M36"/>
    <mergeCell ref="F49:M50"/>
    <mergeCell ref="F63:M64"/>
    <mergeCell ref="B74:D74"/>
    <mergeCell ref="F48:M48"/>
    <mergeCell ref="B43:D43"/>
    <mergeCell ref="E45:G45"/>
    <mergeCell ref="E46:G46"/>
    <mergeCell ref="F34:M34"/>
    <mergeCell ref="B29:D29"/>
    <mergeCell ref="E31:G31"/>
    <mergeCell ref="E32:G32"/>
    <mergeCell ref="F51:M53"/>
    <mergeCell ref="F37:M39"/>
    <mergeCell ref="F23:M25"/>
    <mergeCell ref="B78:D78"/>
    <mergeCell ref="B73:D73"/>
    <mergeCell ref="B77:D77"/>
    <mergeCell ref="F62:M62"/>
    <mergeCell ref="B57:D57"/>
    <mergeCell ref="E59:G59"/>
    <mergeCell ref="E60:G60"/>
    <mergeCell ref="F65:M67"/>
    <mergeCell ref="B15:D15"/>
    <mergeCell ref="E17:G17"/>
    <mergeCell ref="E18:G18"/>
    <mergeCell ref="F20:M20"/>
    <mergeCell ref="B1:D1"/>
    <mergeCell ref="E3:G3"/>
    <mergeCell ref="E4:G4"/>
    <mergeCell ref="F6:M6"/>
    <mergeCell ref="F9:M11"/>
    <mergeCell ref="F7:M8"/>
  </mergeCells>
  <conditionalFormatting sqref="E3:G3">
    <cfRule type="cellIs" dxfId="13" priority="2" operator="notEqual">
      <formula>2</formula>
    </cfRule>
  </conditionalFormatting>
  <conditionalFormatting sqref="E4:G4">
    <cfRule type="cellIs" dxfId="12" priority="1" operator="notEqual">
      <formula>6</formula>
    </cfRule>
  </conditionalFormatting>
  <pageMargins left="0.12" right="0.2" top="0.33" bottom="0.28000000000000003" header="0.17" footer="0.14000000000000001"/>
  <pageSetup paperSize="9" orientation="landscape" horizontalDpi="4294967293" verticalDpi="599"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N78"/>
  <sheetViews>
    <sheetView topLeftCell="A10" workbookViewId="0">
      <selection activeCell="C24" sqref="C24"/>
    </sheetView>
  </sheetViews>
  <sheetFormatPr defaultRowHeight="15"/>
  <cols>
    <col min="1" max="1" width="1.42578125" customWidth="1"/>
    <col min="2" max="2" width="14.28515625" style="1" customWidth="1"/>
    <col min="3" max="3" width="48.5703125" customWidth="1"/>
    <col min="4" max="4" width="12.140625" style="1" customWidth="1"/>
    <col min="5" max="5" width="2.7109375" customWidth="1"/>
    <col min="6" max="13" width="8" customWidth="1"/>
  </cols>
  <sheetData>
    <row r="1" spans="2:14" ht="18">
      <c r="B1" s="74" t="s">
        <v>24</v>
      </c>
      <c r="C1" s="74"/>
      <c r="D1" s="74"/>
    </row>
    <row r="3" spans="2:14" ht="18.75" customHeight="1">
      <c r="B3" s="10" t="s">
        <v>25</v>
      </c>
      <c r="C3" s="11" t="s">
        <v>26</v>
      </c>
      <c r="D3" s="30"/>
      <c r="E3" s="75">
        <f>D3</f>
        <v>0</v>
      </c>
      <c r="F3" s="76"/>
      <c r="G3" s="76"/>
    </row>
    <row r="4" spans="2:14" ht="18.75" customHeight="1">
      <c r="B4" s="34">
        <f>('2ος'!D3-'Στοιχεία Πρακτικής'!C21)/7 + 1</f>
        <v>-6543.2857142857147</v>
      </c>
      <c r="C4" s="11" t="s">
        <v>27</v>
      </c>
      <c r="D4" s="31">
        <f>D3+4</f>
        <v>4</v>
      </c>
      <c r="E4" s="75">
        <f>D4</f>
        <v>4</v>
      </c>
      <c r="F4" s="76"/>
      <c r="G4" s="76"/>
    </row>
    <row r="6" spans="2:14" ht="31.5" customHeight="1">
      <c r="B6" s="13" t="s">
        <v>28</v>
      </c>
      <c r="C6" s="14" t="s">
        <v>29</v>
      </c>
      <c r="D6" s="13" t="s">
        <v>30</v>
      </c>
      <c r="F6" s="77" t="s">
        <v>31</v>
      </c>
      <c r="G6" s="77"/>
      <c r="H6" s="77"/>
      <c r="I6" s="77"/>
      <c r="J6" s="77"/>
      <c r="K6" s="77"/>
      <c r="L6" s="77"/>
      <c r="M6" s="77"/>
    </row>
    <row r="7" spans="2:14" ht="76.5" customHeight="1">
      <c r="B7" s="24">
        <f>D3</f>
        <v>0</v>
      </c>
      <c r="C7" s="22"/>
      <c r="D7" s="26"/>
      <c r="F7" s="89"/>
      <c r="G7" s="90"/>
      <c r="H7" s="90"/>
      <c r="I7" s="90"/>
      <c r="J7" s="90"/>
      <c r="K7" s="90"/>
      <c r="L7" s="90"/>
      <c r="M7" s="91"/>
    </row>
    <row r="8" spans="2:14" ht="76.5" customHeight="1">
      <c r="B8" s="24">
        <f>B7+1</f>
        <v>1</v>
      </c>
      <c r="C8" s="22"/>
      <c r="D8" s="26"/>
      <c r="F8" s="92"/>
      <c r="G8" s="93"/>
      <c r="H8" s="93"/>
      <c r="I8" s="93"/>
      <c r="J8" s="93"/>
      <c r="K8" s="93"/>
      <c r="L8" s="93"/>
      <c r="M8" s="94"/>
    </row>
    <row r="9" spans="2:14" ht="76.5" customHeight="1">
      <c r="B9" s="24">
        <f>B8+1</f>
        <v>2</v>
      </c>
      <c r="C9" s="22"/>
      <c r="D9" s="26"/>
      <c r="F9" s="101" t="str">
        <f>'1ος'!F9:M11</f>
        <v>- Ο ασκούμενος γράφει ΜΟΝΟ σε πράσινα κελιά.
- Οι εβδομάδες ξεκινούν πάντα Δευτέρα και λήγουν Παρασκευή.
   Αυτό προκύπτει αυτόματα εφόσον το κελί D3 (όταν είναι πράσινο)
   συμπληρωθεί σωστά.
- Κάθε μήνας έχει χώρο 5 εβδομάδων. Χρησιμοποιήστε ΜΟΝΟ όσες
   χρειάζονται για να ολοκληρωθεί ο μήνας. Μετά αλλάξτε φύλλο.
- Σε φύλλο δεδομένου μήνα, χρησιμοποήστε ΜΟΝΟ τις μέρες αυτού
   του μήνα. Τυχόν μέρες άλλων μηνών (στην αρχή ή στο τέλος του
   φύλλου) θα πρέπει να αφήνονται κενές.
- Εβδομάδα που μοιράζεται σε 2 μήνες, θα πρέπει να έχει ίδιο
   αύξοντα αριθμό. Αν δεν έχει, τότε συμπληρώσατε λάθος το D3.
- Σε ημέρες που δεν εργαστήκατε να αναγράφετε τον λόγο (π.χ. Αργία 
   Εθνική Εορτή, κτλ). και να αφήνετε ΚΕΝΟ το κελί ωρών εργασίας.</v>
      </c>
      <c r="G9" s="102"/>
      <c r="H9" s="102"/>
      <c r="I9" s="102"/>
      <c r="J9" s="102"/>
      <c r="K9" s="102"/>
      <c r="L9" s="102"/>
      <c r="M9" s="103"/>
    </row>
    <row r="10" spans="2:14" ht="76.5" customHeight="1">
      <c r="B10" s="24">
        <f>B9+1</f>
        <v>3</v>
      </c>
      <c r="C10" s="22"/>
      <c r="D10" s="26"/>
      <c r="F10" s="104"/>
      <c r="G10" s="105"/>
      <c r="H10" s="105"/>
      <c r="I10" s="105"/>
      <c r="J10" s="105"/>
      <c r="K10" s="105"/>
      <c r="L10" s="105"/>
      <c r="M10" s="106"/>
    </row>
    <row r="11" spans="2:14" ht="76.5" customHeight="1">
      <c r="B11" s="27">
        <f>B10+1</f>
        <v>4</v>
      </c>
      <c r="C11" s="23"/>
      <c r="D11" s="29"/>
      <c r="F11" s="107"/>
      <c r="G11" s="108"/>
      <c r="H11" s="108"/>
      <c r="I11" s="108"/>
      <c r="J11" s="108"/>
      <c r="K11" s="108"/>
      <c r="L11" s="108"/>
      <c r="M11" s="109"/>
    </row>
    <row r="12" spans="2:14" ht="19.5" customHeight="1">
      <c r="C12" s="15" t="s">
        <v>33</v>
      </c>
      <c r="D12" s="16">
        <f>SUM(D7:D11)</f>
        <v>0</v>
      </c>
    </row>
    <row r="13" spans="2:14" ht="19.5" customHeight="1">
      <c r="C13" s="15" t="s">
        <v>34</v>
      </c>
      <c r="D13" s="16">
        <f>COUNTA(D7:D11)</f>
        <v>0</v>
      </c>
      <c r="K13" s="17" t="s">
        <v>35</v>
      </c>
      <c r="L13" s="18">
        <f>D13+'1ος'!L69</f>
        <v>0</v>
      </c>
    </row>
    <row r="14" spans="2:14">
      <c r="N14" s="1"/>
    </row>
    <row r="15" spans="2:14" ht="18">
      <c r="B15" s="74" t="s">
        <v>24</v>
      </c>
      <c r="C15" s="74"/>
      <c r="D15" s="74"/>
    </row>
    <row r="17" spans="2:13" ht="18.75" customHeight="1">
      <c r="B17" s="10" t="s">
        <v>25</v>
      </c>
      <c r="C17" s="11" t="s">
        <v>26</v>
      </c>
      <c r="D17" s="32">
        <f>D3+7</f>
        <v>7</v>
      </c>
      <c r="E17" s="75">
        <f>D17</f>
        <v>7</v>
      </c>
      <c r="F17" s="76"/>
      <c r="G17" s="76"/>
    </row>
    <row r="18" spans="2:13" ht="18.75" customHeight="1">
      <c r="B18" s="12">
        <f>B4+1</f>
        <v>-6542.2857142857147</v>
      </c>
      <c r="C18" s="11" t="s">
        <v>27</v>
      </c>
      <c r="D18" s="31">
        <f>D17+4</f>
        <v>11</v>
      </c>
      <c r="E18" s="75">
        <f>D18</f>
        <v>11</v>
      </c>
      <c r="F18" s="76"/>
      <c r="G18" s="76"/>
    </row>
    <row r="20" spans="2:13" ht="31.5" customHeight="1">
      <c r="B20" s="13" t="s">
        <v>28</v>
      </c>
      <c r="C20" s="14" t="s">
        <v>29</v>
      </c>
      <c r="D20" s="13" t="s">
        <v>30</v>
      </c>
      <c r="F20" s="77" t="s">
        <v>31</v>
      </c>
      <c r="G20" s="77"/>
      <c r="H20" s="77"/>
      <c r="I20" s="77"/>
      <c r="J20" s="77"/>
      <c r="K20" s="77"/>
      <c r="L20" s="77"/>
      <c r="M20" s="77"/>
    </row>
    <row r="21" spans="2:13" ht="76.5" customHeight="1">
      <c r="B21" s="24">
        <f>D17</f>
        <v>7</v>
      </c>
      <c r="C21" s="22"/>
      <c r="D21" s="26"/>
      <c r="F21" s="110"/>
      <c r="G21" s="111"/>
      <c r="H21" s="111"/>
      <c r="I21" s="111"/>
      <c r="J21" s="111"/>
      <c r="K21" s="111"/>
      <c r="L21" s="111"/>
      <c r="M21" s="112"/>
    </row>
    <row r="22" spans="2:13" ht="76.5" customHeight="1">
      <c r="B22" s="24">
        <f>B21+1</f>
        <v>8</v>
      </c>
      <c r="C22" s="22"/>
      <c r="D22" s="26"/>
      <c r="F22" s="113"/>
      <c r="G22" s="114"/>
      <c r="H22" s="114"/>
      <c r="I22" s="114"/>
      <c r="J22" s="114"/>
      <c r="K22" s="114"/>
      <c r="L22" s="114"/>
      <c r="M22" s="115"/>
    </row>
    <row r="23" spans="2:13" ht="76.5" customHeight="1">
      <c r="B23" s="24">
        <f>B22+1</f>
        <v>9</v>
      </c>
      <c r="C23" s="22"/>
      <c r="D23" s="26"/>
    </row>
    <row r="24" spans="2:13" ht="76.5" customHeight="1">
      <c r="B24" s="24">
        <f>B23+1</f>
        <v>10</v>
      </c>
      <c r="C24" s="22"/>
      <c r="D24" s="26"/>
    </row>
    <row r="25" spans="2:13" ht="76.5" customHeight="1">
      <c r="B25" s="27">
        <f>B24+1</f>
        <v>11</v>
      </c>
      <c r="C25" s="23"/>
      <c r="D25" s="29"/>
    </row>
    <row r="26" spans="2:13" ht="19.5" customHeight="1">
      <c r="C26" s="15" t="s">
        <v>33</v>
      </c>
      <c r="D26" s="16">
        <f>SUM(D21:D25)</f>
        <v>0</v>
      </c>
    </row>
    <row r="27" spans="2:13" ht="19.5" customHeight="1">
      <c r="C27" s="15" t="s">
        <v>34</v>
      </c>
      <c r="D27" s="16">
        <f>COUNTA(D21:D25)</f>
        <v>0</v>
      </c>
      <c r="K27" s="17" t="s">
        <v>35</v>
      </c>
      <c r="L27" s="18">
        <f>D27+L13</f>
        <v>0</v>
      </c>
    </row>
    <row r="29" spans="2:13" ht="18">
      <c r="B29" s="74" t="s">
        <v>24</v>
      </c>
      <c r="C29" s="74"/>
      <c r="D29" s="74"/>
    </row>
    <row r="31" spans="2:13" ht="18.75" customHeight="1">
      <c r="B31" s="10" t="s">
        <v>25</v>
      </c>
      <c r="C31" s="11" t="s">
        <v>26</v>
      </c>
      <c r="D31" s="32">
        <f>D17+7</f>
        <v>14</v>
      </c>
      <c r="E31" s="75">
        <f>D31</f>
        <v>14</v>
      </c>
      <c r="F31" s="76"/>
      <c r="G31" s="76"/>
    </row>
    <row r="32" spans="2:13" ht="18.75" customHeight="1">
      <c r="B32" s="12">
        <f>B18+1</f>
        <v>-6541.2857142857147</v>
      </c>
      <c r="C32" s="11" t="s">
        <v>27</v>
      </c>
      <c r="D32" s="31">
        <f>D31+4</f>
        <v>18</v>
      </c>
      <c r="E32" s="75">
        <f>D32</f>
        <v>18</v>
      </c>
      <c r="F32" s="76"/>
      <c r="G32" s="76"/>
    </row>
    <row r="34" spans="2:13" ht="31.5" customHeight="1">
      <c r="B34" s="13" t="s">
        <v>28</v>
      </c>
      <c r="C34" s="14" t="s">
        <v>29</v>
      </c>
      <c r="D34" s="13" t="s">
        <v>30</v>
      </c>
      <c r="F34" s="77" t="s">
        <v>31</v>
      </c>
      <c r="G34" s="77"/>
      <c r="H34" s="77"/>
      <c r="I34" s="77"/>
      <c r="J34" s="77"/>
      <c r="K34" s="77"/>
      <c r="L34" s="77"/>
      <c r="M34" s="77"/>
    </row>
    <row r="35" spans="2:13" ht="76.5" customHeight="1">
      <c r="B35" s="24">
        <f>D31</f>
        <v>14</v>
      </c>
      <c r="C35" s="25"/>
      <c r="D35" s="26"/>
      <c r="F35" s="110"/>
      <c r="G35" s="111"/>
      <c r="H35" s="111"/>
      <c r="I35" s="111"/>
      <c r="J35" s="111"/>
      <c r="K35" s="111"/>
      <c r="L35" s="111"/>
      <c r="M35" s="112"/>
    </row>
    <row r="36" spans="2:13" ht="76.5" customHeight="1">
      <c r="B36" s="24">
        <f>B35+1</f>
        <v>15</v>
      </c>
      <c r="C36" s="25"/>
      <c r="D36" s="26"/>
      <c r="F36" s="113"/>
      <c r="G36" s="114"/>
      <c r="H36" s="114"/>
      <c r="I36" s="114"/>
      <c r="J36" s="114"/>
      <c r="K36" s="114"/>
      <c r="L36" s="114"/>
      <c r="M36" s="115"/>
    </row>
    <row r="37" spans="2:13" ht="76.5" customHeight="1">
      <c r="B37" s="24">
        <f>B36+1</f>
        <v>16</v>
      </c>
      <c r="C37" s="25"/>
      <c r="D37" s="26"/>
    </row>
    <row r="38" spans="2:13" ht="76.5" customHeight="1">
      <c r="B38" s="24">
        <f>B37+1</f>
        <v>17</v>
      </c>
      <c r="C38" s="25"/>
      <c r="D38" s="26"/>
    </row>
    <row r="39" spans="2:13" ht="76.5" customHeight="1">
      <c r="B39" s="27">
        <f>B38+1</f>
        <v>18</v>
      </c>
      <c r="C39" s="28"/>
      <c r="D39" s="29"/>
    </row>
    <row r="40" spans="2:13" ht="19.5" customHeight="1">
      <c r="C40" s="15" t="s">
        <v>33</v>
      </c>
      <c r="D40" s="16">
        <f>SUM(D35:D39)</f>
        <v>0</v>
      </c>
    </row>
    <row r="41" spans="2:13" ht="19.5" customHeight="1">
      <c r="C41" s="15" t="s">
        <v>34</v>
      </c>
      <c r="D41" s="16">
        <f>COUNTA(D35:D39)</f>
        <v>0</v>
      </c>
      <c r="K41" s="17" t="s">
        <v>35</v>
      </c>
      <c r="L41" s="18">
        <f>D41+L27</f>
        <v>0</v>
      </c>
    </row>
    <row r="43" spans="2:13" ht="18">
      <c r="B43" s="74" t="s">
        <v>24</v>
      </c>
      <c r="C43" s="74"/>
      <c r="D43" s="74"/>
    </row>
    <row r="45" spans="2:13" ht="18.75" customHeight="1">
      <c r="B45" s="10" t="s">
        <v>25</v>
      </c>
      <c r="C45" s="11" t="s">
        <v>26</v>
      </c>
      <c r="D45" s="32">
        <f>D31+7</f>
        <v>21</v>
      </c>
      <c r="E45" s="75">
        <f>D45</f>
        <v>21</v>
      </c>
      <c r="F45" s="76"/>
      <c r="G45" s="76"/>
    </row>
    <row r="46" spans="2:13" ht="18.75" customHeight="1">
      <c r="B46" s="12">
        <f>B32+1</f>
        <v>-6540.2857142857147</v>
      </c>
      <c r="C46" s="11" t="s">
        <v>27</v>
      </c>
      <c r="D46" s="31">
        <f>D45+4</f>
        <v>25</v>
      </c>
      <c r="E46" s="75">
        <f>D46</f>
        <v>25</v>
      </c>
      <c r="F46" s="76"/>
      <c r="G46" s="76"/>
    </row>
    <row r="48" spans="2:13" ht="31.5" customHeight="1">
      <c r="B48" s="13" t="s">
        <v>28</v>
      </c>
      <c r="C48" s="14" t="s">
        <v>29</v>
      </c>
      <c r="D48" s="13" t="s">
        <v>30</v>
      </c>
      <c r="F48" s="77" t="s">
        <v>31</v>
      </c>
      <c r="G48" s="77"/>
      <c r="H48" s="77"/>
      <c r="I48" s="77"/>
      <c r="J48" s="77"/>
      <c r="K48" s="77"/>
      <c r="L48" s="77"/>
      <c r="M48" s="77"/>
    </row>
    <row r="49" spans="2:13" ht="76.5" customHeight="1">
      <c r="B49" s="24">
        <f>D45</f>
        <v>21</v>
      </c>
      <c r="C49" s="25"/>
      <c r="D49" s="26"/>
      <c r="F49" s="110"/>
      <c r="G49" s="111"/>
      <c r="H49" s="111"/>
      <c r="I49" s="111"/>
      <c r="J49" s="111"/>
      <c r="K49" s="111"/>
      <c r="L49" s="111"/>
      <c r="M49" s="112"/>
    </row>
    <row r="50" spans="2:13" ht="76.5" customHeight="1">
      <c r="B50" s="24">
        <f>B49+1</f>
        <v>22</v>
      </c>
      <c r="C50" s="25"/>
      <c r="D50" s="26"/>
      <c r="F50" s="113"/>
      <c r="G50" s="114"/>
      <c r="H50" s="114"/>
      <c r="I50" s="114"/>
      <c r="J50" s="114"/>
      <c r="K50" s="114"/>
      <c r="L50" s="114"/>
      <c r="M50" s="115"/>
    </row>
    <row r="51" spans="2:13" ht="76.5" customHeight="1">
      <c r="B51" s="24">
        <f>B50+1</f>
        <v>23</v>
      </c>
      <c r="C51" s="25"/>
      <c r="D51" s="26"/>
    </row>
    <row r="52" spans="2:13" ht="76.5" customHeight="1">
      <c r="B52" s="24">
        <f>B51+1</f>
        <v>24</v>
      </c>
      <c r="C52" s="25"/>
      <c r="D52" s="26"/>
    </row>
    <row r="53" spans="2:13" ht="76.5" customHeight="1">
      <c r="B53" s="27">
        <f>B52+1</f>
        <v>25</v>
      </c>
      <c r="C53" s="28"/>
      <c r="D53" s="29"/>
    </row>
    <row r="54" spans="2:13" ht="19.5" customHeight="1">
      <c r="C54" s="15" t="s">
        <v>33</v>
      </c>
      <c r="D54" s="16">
        <f>SUM(D49:D53)</f>
        <v>0</v>
      </c>
    </row>
    <row r="55" spans="2:13" ht="19.5" customHeight="1">
      <c r="C55" s="15" t="s">
        <v>34</v>
      </c>
      <c r="D55" s="16">
        <f>COUNTA(D49:D53)</f>
        <v>0</v>
      </c>
      <c r="K55" s="17" t="s">
        <v>35</v>
      </c>
      <c r="L55" s="18">
        <f>D55+L41</f>
        <v>0</v>
      </c>
    </row>
    <row r="57" spans="2:13" ht="18">
      <c r="B57" s="74" t="s">
        <v>24</v>
      </c>
      <c r="C57" s="74"/>
      <c r="D57" s="74"/>
    </row>
    <row r="59" spans="2:13" ht="18.75" customHeight="1">
      <c r="B59" s="10" t="s">
        <v>25</v>
      </c>
      <c r="C59" s="11" t="s">
        <v>26</v>
      </c>
      <c r="D59" s="32">
        <f>D45+7</f>
        <v>28</v>
      </c>
      <c r="E59" s="78">
        <f>WEEKDAY(D59)</f>
        <v>7</v>
      </c>
      <c r="F59" s="79"/>
      <c r="G59" s="79"/>
    </row>
    <row r="60" spans="2:13" ht="18.75" customHeight="1">
      <c r="B60" s="12">
        <f>B46+1</f>
        <v>-6539.2857142857147</v>
      </c>
      <c r="C60" s="11" t="s">
        <v>27</v>
      </c>
      <c r="D60" s="31">
        <f>D59+4</f>
        <v>32</v>
      </c>
      <c r="E60" s="78">
        <f>WEEKDAY(D60)</f>
        <v>4</v>
      </c>
      <c r="F60" s="79"/>
      <c r="G60" s="79"/>
    </row>
    <row r="62" spans="2:13" ht="31.5" customHeight="1">
      <c r="B62" s="13" t="s">
        <v>28</v>
      </c>
      <c r="C62" s="14" t="s">
        <v>29</v>
      </c>
      <c r="D62" s="13" t="s">
        <v>30</v>
      </c>
      <c r="F62" s="77" t="s">
        <v>31</v>
      </c>
      <c r="G62" s="77"/>
      <c r="H62" s="77"/>
      <c r="I62" s="77"/>
      <c r="J62" s="77"/>
      <c r="K62" s="77"/>
      <c r="L62" s="77"/>
      <c r="M62" s="77"/>
    </row>
    <row r="63" spans="2:13" ht="76.5" customHeight="1">
      <c r="B63" s="24">
        <f>D59</f>
        <v>28</v>
      </c>
      <c r="C63" s="25"/>
      <c r="D63" s="26"/>
      <c r="F63" s="110"/>
      <c r="G63" s="111"/>
      <c r="H63" s="111"/>
      <c r="I63" s="111"/>
      <c r="J63" s="111"/>
      <c r="K63" s="111"/>
      <c r="L63" s="111"/>
      <c r="M63" s="112"/>
    </row>
    <row r="64" spans="2:13" ht="76.5" customHeight="1">
      <c r="B64" s="24">
        <f>B63+1</f>
        <v>29</v>
      </c>
      <c r="C64" s="25"/>
      <c r="D64" s="26"/>
      <c r="F64" s="113"/>
      <c r="G64" s="114"/>
      <c r="H64" s="114"/>
      <c r="I64" s="114"/>
      <c r="J64" s="114"/>
      <c r="K64" s="114"/>
      <c r="L64" s="114"/>
      <c r="M64" s="115"/>
    </row>
    <row r="65" spans="2:12" ht="76.5" customHeight="1">
      <c r="B65" s="24">
        <f>B64+1</f>
        <v>30</v>
      </c>
      <c r="C65" s="25"/>
      <c r="D65" s="26"/>
    </row>
    <row r="66" spans="2:12" ht="76.5" customHeight="1">
      <c r="B66" s="24">
        <f>B65+1</f>
        <v>31</v>
      </c>
      <c r="C66" s="25"/>
      <c r="D66" s="26"/>
    </row>
    <row r="67" spans="2:12" ht="76.5" customHeight="1">
      <c r="B67" s="27">
        <f>B66+1</f>
        <v>32</v>
      </c>
      <c r="C67" s="28"/>
      <c r="D67" s="29"/>
    </row>
    <row r="68" spans="2:12" ht="19.5" customHeight="1">
      <c r="C68" s="15" t="s">
        <v>33</v>
      </c>
      <c r="D68" s="16">
        <f>SUM(D63:D67)</f>
        <v>0</v>
      </c>
    </row>
    <row r="69" spans="2:12" ht="19.5" customHeight="1">
      <c r="C69" s="15" t="s">
        <v>34</v>
      </c>
      <c r="D69" s="16">
        <f>COUNTA(D63:D67)</f>
        <v>0</v>
      </c>
      <c r="K69" s="17" t="s">
        <v>35</v>
      </c>
      <c r="L69" s="18">
        <f>D69+L55</f>
        <v>0</v>
      </c>
    </row>
    <row r="73" spans="2:12" ht="16.5">
      <c r="B73" s="98" t="s">
        <v>36</v>
      </c>
      <c r="C73" s="99"/>
      <c r="D73" s="100"/>
    </row>
    <row r="74" spans="2:12" ht="150" customHeight="1">
      <c r="B74" s="116"/>
      <c r="C74" s="117"/>
      <c r="D74" s="118"/>
    </row>
    <row r="77" spans="2:12" ht="16.5">
      <c r="B77" s="98" t="s">
        <v>37</v>
      </c>
      <c r="C77" s="99"/>
      <c r="D77" s="100"/>
    </row>
    <row r="78" spans="2:12" ht="150" customHeight="1">
      <c r="B78" s="95"/>
      <c r="C78" s="96"/>
      <c r="D78" s="97"/>
    </row>
  </sheetData>
  <sheetProtection algorithmName="SHA-512" hashValue="nYKiSvL+3hgJaoFhvU8NSFI1SfRzI8KTzFtkvIFDqtoyb8CV5B6mrN8kCL/TSKYQ+HjlCkTFLd3W/SJy9h8lJA==" saltValue="RQKWS33aUaeNhAJ0c/qcqw==" spinCount="100000" sheet="1" objects="1" scenarios="1" selectLockedCells="1"/>
  <mergeCells count="30">
    <mergeCell ref="B78:D78"/>
    <mergeCell ref="E46:G46"/>
    <mergeCell ref="F48:M48"/>
    <mergeCell ref="F49:M50"/>
    <mergeCell ref="B57:D57"/>
    <mergeCell ref="E59:G59"/>
    <mergeCell ref="E60:G60"/>
    <mergeCell ref="F62:M62"/>
    <mergeCell ref="F63:M64"/>
    <mergeCell ref="B73:D73"/>
    <mergeCell ref="B74:D74"/>
    <mergeCell ref="B77:D77"/>
    <mergeCell ref="E45:G45"/>
    <mergeCell ref="B15:D15"/>
    <mergeCell ref="E17:G17"/>
    <mergeCell ref="E18:G18"/>
    <mergeCell ref="F20:M20"/>
    <mergeCell ref="F21:M22"/>
    <mergeCell ref="B29:D29"/>
    <mergeCell ref="E31:G31"/>
    <mergeCell ref="E32:G32"/>
    <mergeCell ref="F34:M34"/>
    <mergeCell ref="F35:M36"/>
    <mergeCell ref="B43:D43"/>
    <mergeCell ref="F9:M11"/>
    <mergeCell ref="B1:D1"/>
    <mergeCell ref="E3:G3"/>
    <mergeCell ref="E4:G4"/>
    <mergeCell ref="F6:M6"/>
    <mergeCell ref="F7:M8"/>
  </mergeCells>
  <conditionalFormatting sqref="E59:G59">
    <cfRule type="cellIs" dxfId="11" priority="2" operator="notEqual">
      <formula>2</formula>
    </cfRule>
  </conditionalFormatting>
  <conditionalFormatting sqref="E60:G60">
    <cfRule type="cellIs" dxfId="10" priority="1" operator="notEqual">
      <formula>6</formula>
    </cfRule>
  </conditionalFormatting>
  <pageMargins left="0.12" right="0.2" top="0.33" bottom="0.28000000000000003" header="0.17" footer="0.14000000000000001"/>
  <pageSetup paperSize="9" orientation="landscape" horizontalDpi="4294967293" verticalDpi="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N78"/>
  <sheetViews>
    <sheetView topLeftCell="A10" workbookViewId="0">
      <selection activeCell="C24" sqref="C24"/>
    </sheetView>
  </sheetViews>
  <sheetFormatPr defaultRowHeight="15"/>
  <cols>
    <col min="1" max="1" width="1.42578125" customWidth="1"/>
    <col min="2" max="2" width="14.28515625" style="1" customWidth="1"/>
    <col min="3" max="3" width="48.5703125" customWidth="1"/>
    <col min="4" max="4" width="12.140625" style="1" customWidth="1"/>
    <col min="5" max="5" width="2.7109375" customWidth="1"/>
    <col min="6" max="13" width="8" customWidth="1"/>
  </cols>
  <sheetData>
    <row r="1" spans="2:14" ht="18">
      <c r="B1" s="74" t="s">
        <v>24</v>
      </c>
      <c r="C1" s="74"/>
      <c r="D1" s="74"/>
    </row>
    <row r="3" spans="2:14" ht="18.75" customHeight="1">
      <c r="B3" s="10" t="s">
        <v>25</v>
      </c>
      <c r="C3" s="11" t="s">
        <v>26</v>
      </c>
      <c r="D3" s="30"/>
      <c r="E3" s="78">
        <f>WEEKDAY(D3)</f>
        <v>7</v>
      </c>
      <c r="F3" s="79"/>
      <c r="G3" s="79"/>
    </row>
    <row r="4" spans="2:14" ht="18.75" customHeight="1">
      <c r="B4" s="34">
        <f>('3ος'!D3-'Στοιχεία Πρακτικής'!C21)/7 + 1</f>
        <v>-6543.2857142857147</v>
      </c>
      <c r="C4" s="11" t="s">
        <v>27</v>
      </c>
      <c r="D4" s="31">
        <f>D3+4</f>
        <v>4</v>
      </c>
      <c r="E4" s="78">
        <f>WEEKDAY(D4)</f>
        <v>4</v>
      </c>
      <c r="F4" s="79"/>
      <c r="G4" s="79"/>
    </row>
    <row r="6" spans="2:14" ht="31.5" customHeight="1">
      <c r="B6" s="13" t="s">
        <v>28</v>
      </c>
      <c r="C6" s="14" t="s">
        <v>29</v>
      </c>
      <c r="D6" s="13" t="s">
        <v>30</v>
      </c>
      <c r="F6" s="77" t="s">
        <v>31</v>
      </c>
      <c r="G6" s="77"/>
      <c r="H6" s="77"/>
      <c r="I6" s="77"/>
      <c r="J6" s="77"/>
      <c r="K6" s="77"/>
      <c r="L6" s="77"/>
      <c r="M6" s="77"/>
    </row>
    <row r="7" spans="2:14" ht="76.5" customHeight="1">
      <c r="B7" s="24">
        <f>D3</f>
        <v>0</v>
      </c>
      <c r="C7" s="22"/>
      <c r="D7" s="26"/>
      <c r="F7" s="89"/>
      <c r="G7" s="90"/>
      <c r="H7" s="90"/>
      <c r="I7" s="90"/>
      <c r="J7" s="90"/>
      <c r="K7" s="90"/>
      <c r="L7" s="90"/>
      <c r="M7" s="91"/>
    </row>
    <row r="8" spans="2:14" ht="76.5" customHeight="1">
      <c r="B8" s="24">
        <f>B7+1</f>
        <v>1</v>
      </c>
      <c r="C8" s="22"/>
      <c r="D8" s="26"/>
      <c r="F8" s="92"/>
      <c r="G8" s="93"/>
      <c r="H8" s="93"/>
      <c r="I8" s="93"/>
      <c r="J8" s="93"/>
      <c r="K8" s="93"/>
      <c r="L8" s="93"/>
      <c r="M8" s="94"/>
    </row>
    <row r="9" spans="2:14" ht="76.5" customHeight="1">
      <c r="B9" s="24">
        <f>B8+1</f>
        <v>2</v>
      </c>
      <c r="C9" s="22"/>
      <c r="D9" s="26"/>
      <c r="F9" s="101" t="str">
        <f>'1ος'!F9:M11</f>
        <v>- Ο ασκούμενος γράφει ΜΟΝΟ σε πράσινα κελιά.
- Οι εβδομάδες ξεκινούν πάντα Δευτέρα και λήγουν Παρασκευή.
   Αυτό προκύπτει αυτόματα εφόσον το κελί D3 (όταν είναι πράσινο)
   συμπληρωθεί σωστά.
- Κάθε μήνας έχει χώρο 5 εβδομάδων. Χρησιμοποιήστε ΜΟΝΟ όσες
   χρειάζονται για να ολοκληρωθεί ο μήνας. Μετά αλλάξτε φύλλο.
- Σε φύλλο δεδομένου μήνα, χρησιμοποήστε ΜΟΝΟ τις μέρες αυτού
   του μήνα. Τυχόν μέρες άλλων μηνών (στην αρχή ή στο τέλος του
   φύλλου) θα πρέπει να αφήνονται κενές.
- Εβδομάδα που μοιράζεται σε 2 μήνες, θα πρέπει να έχει ίδιο
   αύξοντα αριθμό. Αν δεν έχει, τότε συμπληρώσατε λάθος το D3.
- Σε ημέρες που δεν εργαστήκατε να αναγράφετε τον λόγο (π.χ. Αργία 
   Εθνική Εορτή, κτλ). και να αφήνετε ΚΕΝΟ το κελί ωρών εργασίας.</v>
      </c>
      <c r="G9" s="102"/>
      <c r="H9" s="102"/>
      <c r="I9" s="102"/>
      <c r="J9" s="102"/>
      <c r="K9" s="102"/>
      <c r="L9" s="102"/>
      <c r="M9" s="103"/>
    </row>
    <row r="10" spans="2:14" ht="76.5" customHeight="1">
      <c r="B10" s="24">
        <f>B9+1</f>
        <v>3</v>
      </c>
      <c r="C10" s="22"/>
      <c r="D10" s="26"/>
      <c r="F10" s="104"/>
      <c r="G10" s="105"/>
      <c r="H10" s="105"/>
      <c r="I10" s="105"/>
      <c r="J10" s="105"/>
      <c r="K10" s="105"/>
      <c r="L10" s="105"/>
      <c r="M10" s="106"/>
    </row>
    <row r="11" spans="2:14" ht="76.5" customHeight="1">
      <c r="B11" s="27">
        <f>B10+1</f>
        <v>4</v>
      </c>
      <c r="C11" s="23"/>
      <c r="D11" s="29"/>
      <c r="F11" s="107"/>
      <c r="G11" s="108"/>
      <c r="H11" s="108"/>
      <c r="I11" s="108"/>
      <c r="J11" s="108"/>
      <c r="K11" s="108"/>
      <c r="L11" s="108"/>
      <c r="M11" s="109"/>
    </row>
    <row r="12" spans="2:14" ht="19.5" customHeight="1">
      <c r="C12" s="15" t="s">
        <v>33</v>
      </c>
      <c r="D12" s="16">
        <f>SUM(D7:D11)</f>
        <v>0</v>
      </c>
    </row>
    <row r="13" spans="2:14" ht="19.5" customHeight="1">
      <c r="C13" s="15" t="s">
        <v>34</v>
      </c>
      <c r="D13" s="16">
        <f>COUNTA(D7:D11)</f>
        <v>0</v>
      </c>
      <c r="K13" s="17" t="s">
        <v>35</v>
      </c>
      <c r="L13" s="18">
        <f>D13+'2ος'!L69</f>
        <v>0</v>
      </c>
    </row>
    <row r="14" spans="2:14">
      <c r="N14" s="1"/>
    </row>
    <row r="15" spans="2:14" ht="18">
      <c r="B15" s="74" t="s">
        <v>24</v>
      </c>
      <c r="C15" s="74"/>
      <c r="D15" s="74"/>
    </row>
    <row r="17" spans="2:13" ht="18.75" customHeight="1">
      <c r="B17" s="10" t="s">
        <v>25</v>
      </c>
      <c r="C17" s="11" t="s">
        <v>26</v>
      </c>
      <c r="D17" s="32">
        <f>D3+7</f>
        <v>7</v>
      </c>
      <c r="E17" s="75">
        <f>D17</f>
        <v>7</v>
      </c>
      <c r="F17" s="76"/>
      <c r="G17" s="76"/>
    </row>
    <row r="18" spans="2:13" ht="18.75" customHeight="1">
      <c r="B18" s="12">
        <f>B4+1</f>
        <v>-6542.2857142857147</v>
      </c>
      <c r="C18" s="11" t="s">
        <v>27</v>
      </c>
      <c r="D18" s="31">
        <f>D17+4</f>
        <v>11</v>
      </c>
      <c r="E18" s="75">
        <f>D18</f>
        <v>11</v>
      </c>
      <c r="F18" s="76"/>
      <c r="G18" s="76"/>
    </row>
    <row r="20" spans="2:13" ht="31.5" customHeight="1">
      <c r="B20" s="13" t="s">
        <v>28</v>
      </c>
      <c r="C20" s="14" t="s">
        <v>29</v>
      </c>
      <c r="D20" s="13" t="s">
        <v>30</v>
      </c>
      <c r="F20" s="77" t="s">
        <v>31</v>
      </c>
      <c r="G20" s="77"/>
      <c r="H20" s="77"/>
      <c r="I20" s="77"/>
      <c r="J20" s="77"/>
      <c r="K20" s="77"/>
      <c r="L20" s="77"/>
      <c r="M20" s="77"/>
    </row>
    <row r="21" spans="2:13" ht="76.5" customHeight="1">
      <c r="B21" s="24">
        <f>D17</f>
        <v>7</v>
      </c>
      <c r="C21" s="22"/>
      <c r="D21" s="26"/>
      <c r="F21" s="110"/>
      <c r="G21" s="111"/>
      <c r="H21" s="111"/>
      <c r="I21" s="111"/>
      <c r="J21" s="111"/>
      <c r="K21" s="111"/>
      <c r="L21" s="111"/>
      <c r="M21" s="112"/>
    </row>
    <row r="22" spans="2:13" ht="76.5" customHeight="1">
      <c r="B22" s="24">
        <f>B21+1</f>
        <v>8</v>
      </c>
      <c r="C22" s="22"/>
      <c r="D22" s="26"/>
      <c r="F22" s="113"/>
      <c r="G22" s="114"/>
      <c r="H22" s="114"/>
      <c r="I22" s="114"/>
      <c r="J22" s="114"/>
      <c r="K22" s="114"/>
      <c r="L22" s="114"/>
      <c r="M22" s="115"/>
    </row>
    <row r="23" spans="2:13" ht="76.5" customHeight="1">
      <c r="B23" s="24">
        <f>B22+1</f>
        <v>9</v>
      </c>
      <c r="C23" s="22"/>
      <c r="D23" s="26"/>
    </row>
    <row r="24" spans="2:13" ht="76.5" customHeight="1">
      <c r="B24" s="24">
        <f>B23+1</f>
        <v>10</v>
      </c>
      <c r="C24" s="22"/>
      <c r="D24" s="26"/>
    </row>
    <row r="25" spans="2:13" ht="76.5" customHeight="1">
      <c r="B25" s="27">
        <f>B24+1</f>
        <v>11</v>
      </c>
      <c r="C25" s="23"/>
      <c r="D25" s="29"/>
    </row>
    <row r="26" spans="2:13" ht="19.5" customHeight="1">
      <c r="C26" s="15" t="s">
        <v>33</v>
      </c>
      <c r="D26" s="16">
        <f>SUM(D21:D25)</f>
        <v>0</v>
      </c>
    </row>
    <row r="27" spans="2:13" ht="19.5" customHeight="1">
      <c r="C27" s="15" t="s">
        <v>34</v>
      </c>
      <c r="D27" s="16">
        <f>COUNTA(D21:D25)</f>
        <v>0</v>
      </c>
      <c r="K27" s="17" t="s">
        <v>35</v>
      </c>
      <c r="L27" s="18">
        <f>D27+L13</f>
        <v>0</v>
      </c>
    </row>
    <row r="29" spans="2:13" ht="18">
      <c r="B29" s="74" t="s">
        <v>24</v>
      </c>
      <c r="C29" s="74"/>
      <c r="D29" s="74"/>
    </row>
    <row r="31" spans="2:13" ht="18.75" customHeight="1">
      <c r="B31" s="10" t="s">
        <v>25</v>
      </c>
      <c r="C31" s="11" t="s">
        <v>26</v>
      </c>
      <c r="D31" s="32">
        <f>D17+7</f>
        <v>14</v>
      </c>
      <c r="E31" s="75">
        <f>D31</f>
        <v>14</v>
      </c>
      <c r="F31" s="76"/>
      <c r="G31" s="76"/>
    </row>
    <row r="32" spans="2:13" ht="18.75" customHeight="1">
      <c r="B32" s="12">
        <f>B18+1</f>
        <v>-6541.2857142857147</v>
      </c>
      <c r="C32" s="11" t="s">
        <v>27</v>
      </c>
      <c r="D32" s="31">
        <f>D31+4</f>
        <v>18</v>
      </c>
      <c r="E32" s="75">
        <f>D32</f>
        <v>18</v>
      </c>
      <c r="F32" s="76"/>
      <c r="G32" s="76"/>
    </row>
    <row r="34" spans="2:13" ht="31.5" customHeight="1">
      <c r="B34" s="13" t="s">
        <v>28</v>
      </c>
      <c r="C34" s="14" t="s">
        <v>29</v>
      </c>
      <c r="D34" s="13" t="s">
        <v>30</v>
      </c>
      <c r="F34" s="77" t="s">
        <v>31</v>
      </c>
      <c r="G34" s="77"/>
      <c r="H34" s="77"/>
      <c r="I34" s="77"/>
      <c r="J34" s="77"/>
      <c r="K34" s="77"/>
      <c r="L34" s="77"/>
      <c r="M34" s="77"/>
    </row>
    <row r="35" spans="2:13" ht="76.5" customHeight="1">
      <c r="B35" s="24">
        <f>D31</f>
        <v>14</v>
      </c>
      <c r="C35" s="25"/>
      <c r="D35" s="26"/>
      <c r="F35" s="110"/>
      <c r="G35" s="111"/>
      <c r="H35" s="111"/>
      <c r="I35" s="111"/>
      <c r="J35" s="111"/>
      <c r="K35" s="111"/>
      <c r="L35" s="111"/>
      <c r="M35" s="112"/>
    </row>
    <row r="36" spans="2:13" ht="76.5" customHeight="1">
      <c r="B36" s="24">
        <f>B35+1</f>
        <v>15</v>
      </c>
      <c r="C36" s="25"/>
      <c r="D36" s="26"/>
      <c r="F36" s="113"/>
      <c r="G36" s="114"/>
      <c r="H36" s="114"/>
      <c r="I36" s="114"/>
      <c r="J36" s="114"/>
      <c r="K36" s="114"/>
      <c r="L36" s="114"/>
      <c r="M36" s="115"/>
    </row>
    <row r="37" spans="2:13" ht="76.5" customHeight="1">
      <c r="B37" s="24">
        <f>B36+1</f>
        <v>16</v>
      </c>
      <c r="C37" s="25"/>
      <c r="D37" s="26"/>
    </row>
    <row r="38" spans="2:13" ht="76.5" customHeight="1">
      <c r="B38" s="24">
        <f>B37+1</f>
        <v>17</v>
      </c>
      <c r="C38" s="25"/>
      <c r="D38" s="26"/>
    </row>
    <row r="39" spans="2:13" ht="76.5" customHeight="1">
      <c r="B39" s="27">
        <f>B38+1</f>
        <v>18</v>
      </c>
      <c r="C39" s="28"/>
      <c r="D39" s="29"/>
    </row>
    <row r="40" spans="2:13" ht="19.5" customHeight="1">
      <c r="C40" s="15" t="s">
        <v>33</v>
      </c>
      <c r="D40" s="16">
        <f>SUM(D35:D39)</f>
        <v>0</v>
      </c>
    </row>
    <row r="41" spans="2:13" ht="19.5" customHeight="1">
      <c r="C41" s="15" t="s">
        <v>34</v>
      </c>
      <c r="D41" s="16">
        <f>COUNTA(D35:D39)</f>
        <v>0</v>
      </c>
      <c r="K41" s="17" t="s">
        <v>35</v>
      </c>
      <c r="L41" s="18">
        <f>D41+L27</f>
        <v>0</v>
      </c>
    </row>
    <row r="43" spans="2:13" ht="18">
      <c r="B43" s="74" t="s">
        <v>24</v>
      </c>
      <c r="C43" s="74"/>
      <c r="D43" s="74"/>
    </row>
    <row r="45" spans="2:13" ht="18.75" customHeight="1">
      <c r="B45" s="10" t="s">
        <v>25</v>
      </c>
      <c r="C45" s="11" t="s">
        <v>26</v>
      </c>
      <c r="D45" s="32">
        <f>D31+7</f>
        <v>21</v>
      </c>
      <c r="E45" s="75">
        <f>D45</f>
        <v>21</v>
      </c>
      <c r="F45" s="76"/>
      <c r="G45" s="76"/>
    </row>
    <row r="46" spans="2:13" ht="18.75" customHeight="1">
      <c r="B46" s="12">
        <f>B32+1</f>
        <v>-6540.2857142857147</v>
      </c>
      <c r="C46" s="11" t="s">
        <v>27</v>
      </c>
      <c r="D46" s="31">
        <f>D45+4</f>
        <v>25</v>
      </c>
      <c r="E46" s="75">
        <f>D46</f>
        <v>25</v>
      </c>
      <c r="F46" s="76"/>
      <c r="G46" s="76"/>
    </row>
    <row r="48" spans="2:13" ht="31.5" customHeight="1">
      <c r="B48" s="13" t="s">
        <v>28</v>
      </c>
      <c r="C48" s="14" t="s">
        <v>29</v>
      </c>
      <c r="D48" s="13" t="s">
        <v>30</v>
      </c>
      <c r="F48" s="77" t="s">
        <v>31</v>
      </c>
      <c r="G48" s="77"/>
      <c r="H48" s="77"/>
      <c r="I48" s="77"/>
      <c r="J48" s="77"/>
      <c r="K48" s="77"/>
      <c r="L48" s="77"/>
      <c r="M48" s="77"/>
    </row>
    <row r="49" spans="2:13" ht="76.5" customHeight="1">
      <c r="B49" s="24">
        <f>D45</f>
        <v>21</v>
      </c>
      <c r="C49" s="25"/>
      <c r="D49" s="26"/>
      <c r="F49" s="110"/>
      <c r="G49" s="111"/>
      <c r="H49" s="111"/>
      <c r="I49" s="111"/>
      <c r="J49" s="111"/>
      <c r="K49" s="111"/>
      <c r="L49" s="111"/>
      <c r="M49" s="112"/>
    </row>
    <row r="50" spans="2:13" ht="76.5" customHeight="1">
      <c r="B50" s="24">
        <f>B49+1</f>
        <v>22</v>
      </c>
      <c r="C50" s="25"/>
      <c r="D50" s="26"/>
      <c r="F50" s="113"/>
      <c r="G50" s="114"/>
      <c r="H50" s="114"/>
      <c r="I50" s="114"/>
      <c r="J50" s="114"/>
      <c r="K50" s="114"/>
      <c r="L50" s="114"/>
      <c r="M50" s="115"/>
    </row>
    <row r="51" spans="2:13" ht="76.5" customHeight="1">
      <c r="B51" s="24">
        <f>B50+1</f>
        <v>23</v>
      </c>
      <c r="C51" s="25"/>
      <c r="D51" s="26"/>
    </row>
    <row r="52" spans="2:13" ht="76.5" customHeight="1">
      <c r="B52" s="24">
        <f>B51+1</f>
        <v>24</v>
      </c>
      <c r="C52" s="25"/>
      <c r="D52" s="26"/>
    </row>
    <row r="53" spans="2:13" ht="76.5" customHeight="1">
      <c r="B53" s="27">
        <f>B52+1</f>
        <v>25</v>
      </c>
      <c r="C53" s="28"/>
      <c r="D53" s="29"/>
    </row>
    <row r="54" spans="2:13" ht="19.5" customHeight="1">
      <c r="C54" s="15" t="s">
        <v>33</v>
      </c>
      <c r="D54" s="16">
        <f>SUM(D49:D53)</f>
        <v>0</v>
      </c>
    </row>
    <row r="55" spans="2:13" ht="19.5" customHeight="1">
      <c r="C55" s="15" t="s">
        <v>34</v>
      </c>
      <c r="D55" s="16">
        <f>COUNTA(D49:D53)</f>
        <v>0</v>
      </c>
      <c r="K55" s="17" t="s">
        <v>35</v>
      </c>
      <c r="L55" s="18">
        <f>D55+L41</f>
        <v>0</v>
      </c>
    </row>
    <row r="57" spans="2:13" ht="18">
      <c r="B57" s="74" t="s">
        <v>24</v>
      </c>
      <c r="C57" s="74"/>
      <c r="D57" s="74"/>
    </row>
    <row r="59" spans="2:13" ht="18.75" customHeight="1">
      <c r="B59" s="10" t="s">
        <v>25</v>
      </c>
      <c r="C59" s="11" t="s">
        <v>26</v>
      </c>
      <c r="D59" s="32">
        <f>D45+7</f>
        <v>28</v>
      </c>
      <c r="E59" s="75">
        <f>D59</f>
        <v>28</v>
      </c>
      <c r="F59" s="76"/>
      <c r="G59" s="76"/>
    </row>
    <row r="60" spans="2:13" ht="18.75" customHeight="1">
      <c r="B60" s="12">
        <f>B46+1</f>
        <v>-6539.2857142857147</v>
      </c>
      <c r="C60" s="11" t="s">
        <v>27</v>
      </c>
      <c r="D60" s="31">
        <f>D59+4</f>
        <v>32</v>
      </c>
      <c r="E60" s="75">
        <f>D60</f>
        <v>32</v>
      </c>
      <c r="F60" s="76"/>
      <c r="G60" s="76"/>
    </row>
    <row r="62" spans="2:13" ht="31.5" customHeight="1">
      <c r="B62" s="13" t="s">
        <v>28</v>
      </c>
      <c r="C62" s="14" t="s">
        <v>29</v>
      </c>
      <c r="D62" s="13" t="s">
        <v>30</v>
      </c>
      <c r="F62" s="77" t="s">
        <v>31</v>
      </c>
      <c r="G62" s="77"/>
      <c r="H62" s="77"/>
      <c r="I62" s="77"/>
      <c r="J62" s="77"/>
      <c r="K62" s="77"/>
      <c r="L62" s="77"/>
      <c r="M62" s="77"/>
    </row>
    <row r="63" spans="2:13" ht="76.5" customHeight="1">
      <c r="B63" s="24">
        <f>D59</f>
        <v>28</v>
      </c>
      <c r="C63" s="25"/>
      <c r="D63" s="26"/>
      <c r="F63" s="110"/>
      <c r="G63" s="111"/>
      <c r="H63" s="111"/>
      <c r="I63" s="111"/>
      <c r="J63" s="111"/>
      <c r="K63" s="111"/>
      <c r="L63" s="111"/>
      <c r="M63" s="112"/>
    </row>
    <row r="64" spans="2:13" ht="76.5" customHeight="1">
      <c r="B64" s="24">
        <f>B63+1</f>
        <v>29</v>
      </c>
      <c r="C64" s="25"/>
      <c r="D64" s="26"/>
      <c r="F64" s="113"/>
      <c r="G64" s="114"/>
      <c r="H64" s="114"/>
      <c r="I64" s="114"/>
      <c r="J64" s="114"/>
      <c r="K64" s="114"/>
      <c r="L64" s="114"/>
      <c r="M64" s="115"/>
    </row>
    <row r="65" spans="2:12" ht="76.5" customHeight="1">
      <c r="B65" s="24">
        <f>B64+1</f>
        <v>30</v>
      </c>
      <c r="C65" s="25"/>
      <c r="D65" s="26"/>
    </row>
    <row r="66" spans="2:12" ht="76.5" customHeight="1">
      <c r="B66" s="24">
        <f>B65+1</f>
        <v>31</v>
      </c>
      <c r="C66" s="25"/>
      <c r="D66" s="26"/>
    </row>
    <row r="67" spans="2:12" ht="76.5" customHeight="1">
      <c r="B67" s="27">
        <f>B66+1</f>
        <v>32</v>
      </c>
      <c r="C67" s="28"/>
      <c r="D67" s="29"/>
    </row>
    <row r="68" spans="2:12" ht="19.5" customHeight="1">
      <c r="C68" s="15" t="s">
        <v>33</v>
      </c>
      <c r="D68" s="16">
        <f>SUM(D63:D67)</f>
        <v>0</v>
      </c>
    </row>
    <row r="69" spans="2:12" ht="19.5" customHeight="1">
      <c r="C69" s="15" t="s">
        <v>34</v>
      </c>
      <c r="D69" s="16">
        <f>COUNTA(D63:D67)</f>
        <v>0</v>
      </c>
      <c r="K69" s="17" t="s">
        <v>35</v>
      </c>
      <c r="L69" s="18">
        <f>D69+L55</f>
        <v>0</v>
      </c>
    </row>
    <row r="73" spans="2:12" ht="16.5">
      <c r="B73" s="98" t="s">
        <v>36</v>
      </c>
      <c r="C73" s="99"/>
      <c r="D73" s="100"/>
    </row>
    <row r="74" spans="2:12" ht="150" customHeight="1">
      <c r="B74" s="116"/>
      <c r="C74" s="117"/>
      <c r="D74" s="118"/>
    </row>
    <row r="77" spans="2:12" ht="16.5">
      <c r="B77" s="98" t="s">
        <v>37</v>
      </c>
      <c r="C77" s="99"/>
      <c r="D77" s="100"/>
    </row>
    <row r="78" spans="2:12" ht="150" customHeight="1">
      <c r="B78" s="95"/>
      <c r="C78" s="96"/>
      <c r="D78" s="97"/>
    </row>
  </sheetData>
  <sheetProtection algorithmName="SHA-512" hashValue="mI+YZYdoorSiSq6hn0FFkMaSAkDmBOOSJGsnIwZspkw77mfSXLKhsWpwM+2hlYe6szTS2n1TJyrI6VUr0+LzSw==" saltValue="UKNxj76Z5vlMXjYMFIAwTQ==" spinCount="100000" sheet="1" objects="1" scenarios="1" selectLockedCells="1"/>
  <mergeCells count="30">
    <mergeCell ref="B78:D78"/>
    <mergeCell ref="E46:G46"/>
    <mergeCell ref="F48:M48"/>
    <mergeCell ref="F49:M50"/>
    <mergeCell ref="B57:D57"/>
    <mergeCell ref="E59:G59"/>
    <mergeCell ref="E60:G60"/>
    <mergeCell ref="F62:M62"/>
    <mergeCell ref="F63:M64"/>
    <mergeCell ref="B73:D73"/>
    <mergeCell ref="B74:D74"/>
    <mergeCell ref="B77:D77"/>
    <mergeCell ref="E45:G45"/>
    <mergeCell ref="B15:D15"/>
    <mergeCell ref="E17:G17"/>
    <mergeCell ref="E18:G18"/>
    <mergeCell ref="F20:M20"/>
    <mergeCell ref="F21:M22"/>
    <mergeCell ref="B29:D29"/>
    <mergeCell ref="E31:G31"/>
    <mergeCell ref="E32:G32"/>
    <mergeCell ref="F34:M34"/>
    <mergeCell ref="F35:M36"/>
    <mergeCell ref="B43:D43"/>
    <mergeCell ref="F9:M11"/>
    <mergeCell ref="B1:D1"/>
    <mergeCell ref="E3:G3"/>
    <mergeCell ref="E4:G4"/>
    <mergeCell ref="F6:M6"/>
    <mergeCell ref="F7:M8"/>
  </mergeCells>
  <conditionalFormatting sqref="E3:G3">
    <cfRule type="cellIs" dxfId="9" priority="2" operator="notEqual">
      <formula>2</formula>
    </cfRule>
  </conditionalFormatting>
  <conditionalFormatting sqref="E4:G4">
    <cfRule type="cellIs" dxfId="8" priority="1" operator="notEqual">
      <formula>6</formula>
    </cfRule>
  </conditionalFormatting>
  <pageMargins left="0.12" right="0.2" top="0.33" bottom="0.28000000000000003" header="0.17" footer="0.14000000000000001"/>
  <pageSetup paperSize="9" orientation="landscape" horizontalDpi="4294967293" verticalDpi="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N78"/>
  <sheetViews>
    <sheetView topLeftCell="A10" workbookViewId="0">
      <selection activeCell="C24" sqref="C24"/>
    </sheetView>
  </sheetViews>
  <sheetFormatPr defaultRowHeight="15"/>
  <cols>
    <col min="1" max="1" width="1.42578125" customWidth="1"/>
    <col min="2" max="2" width="14.28515625" style="1" customWidth="1"/>
    <col min="3" max="3" width="48.5703125" customWidth="1"/>
    <col min="4" max="4" width="12.140625" style="1" customWidth="1"/>
    <col min="5" max="5" width="2.7109375" customWidth="1"/>
    <col min="6" max="13" width="8" customWidth="1"/>
  </cols>
  <sheetData>
    <row r="1" spans="2:14" ht="18">
      <c r="B1" s="74" t="s">
        <v>24</v>
      </c>
      <c r="C1" s="74"/>
      <c r="D1" s="74"/>
    </row>
    <row r="3" spans="2:14" ht="18.75" customHeight="1">
      <c r="B3" s="10" t="s">
        <v>25</v>
      </c>
      <c r="C3" s="11" t="s">
        <v>26</v>
      </c>
      <c r="D3" s="30"/>
      <c r="E3" s="78">
        <f>WEEKDAY(D3)</f>
        <v>7</v>
      </c>
      <c r="F3" s="79"/>
      <c r="G3" s="79"/>
    </row>
    <row r="4" spans="2:14" ht="18.75" customHeight="1">
      <c r="B4" s="34">
        <f>('4ος'!D3-'Στοιχεία Πρακτικής'!C21)/7 + 1</f>
        <v>-6543.2857142857147</v>
      </c>
      <c r="C4" s="11" t="s">
        <v>27</v>
      </c>
      <c r="D4" s="31">
        <f>D3+4</f>
        <v>4</v>
      </c>
      <c r="E4" s="78">
        <f>WEEKDAY(D4)</f>
        <v>4</v>
      </c>
      <c r="F4" s="79"/>
      <c r="G4" s="79"/>
    </row>
    <row r="6" spans="2:14" ht="31.5" customHeight="1">
      <c r="B6" s="13" t="s">
        <v>28</v>
      </c>
      <c r="C6" s="14" t="s">
        <v>29</v>
      </c>
      <c r="D6" s="13" t="s">
        <v>30</v>
      </c>
      <c r="F6" s="77" t="s">
        <v>31</v>
      </c>
      <c r="G6" s="77"/>
      <c r="H6" s="77"/>
      <c r="I6" s="77"/>
      <c r="J6" s="77"/>
      <c r="K6" s="77"/>
      <c r="L6" s="77"/>
      <c r="M6" s="77"/>
    </row>
    <row r="7" spans="2:14" ht="76.5" customHeight="1">
      <c r="B7" s="24">
        <f>D3</f>
        <v>0</v>
      </c>
      <c r="C7" s="22"/>
      <c r="D7" s="26"/>
      <c r="F7" s="89"/>
      <c r="G7" s="90"/>
      <c r="H7" s="90"/>
      <c r="I7" s="90"/>
      <c r="J7" s="90"/>
      <c r="K7" s="90"/>
      <c r="L7" s="90"/>
      <c r="M7" s="91"/>
    </row>
    <row r="8" spans="2:14" ht="76.5" customHeight="1">
      <c r="B8" s="24">
        <f>B7+1</f>
        <v>1</v>
      </c>
      <c r="C8" s="22"/>
      <c r="D8" s="26"/>
      <c r="F8" s="92"/>
      <c r="G8" s="93"/>
      <c r="H8" s="93"/>
      <c r="I8" s="93"/>
      <c r="J8" s="93"/>
      <c r="K8" s="93"/>
      <c r="L8" s="93"/>
      <c r="M8" s="94"/>
    </row>
    <row r="9" spans="2:14" ht="76.5" customHeight="1">
      <c r="B9" s="24">
        <f>B8+1</f>
        <v>2</v>
      </c>
      <c r="C9" s="22"/>
      <c r="D9" s="26"/>
      <c r="F9" s="101" t="str">
        <f>'1ος'!F9:M11</f>
        <v>- Ο ασκούμενος γράφει ΜΟΝΟ σε πράσινα κελιά.
- Οι εβδομάδες ξεκινούν πάντα Δευτέρα και λήγουν Παρασκευή.
   Αυτό προκύπτει αυτόματα εφόσον το κελί D3 (όταν είναι πράσινο)
   συμπληρωθεί σωστά.
- Κάθε μήνας έχει χώρο 5 εβδομάδων. Χρησιμοποιήστε ΜΟΝΟ όσες
   χρειάζονται για να ολοκληρωθεί ο μήνας. Μετά αλλάξτε φύλλο.
- Σε φύλλο δεδομένου μήνα, χρησιμοποήστε ΜΟΝΟ τις μέρες αυτού
   του μήνα. Τυχόν μέρες άλλων μηνών (στην αρχή ή στο τέλος του
   φύλλου) θα πρέπει να αφήνονται κενές.
- Εβδομάδα που μοιράζεται σε 2 μήνες, θα πρέπει να έχει ίδιο
   αύξοντα αριθμό. Αν δεν έχει, τότε συμπληρώσατε λάθος το D3.
- Σε ημέρες που δεν εργαστήκατε να αναγράφετε τον λόγο (π.χ. Αργία 
   Εθνική Εορτή, κτλ). και να αφήνετε ΚΕΝΟ το κελί ωρών εργασίας.</v>
      </c>
      <c r="G9" s="102"/>
      <c r="H9" s="102"/>
      <c r="I9" s="102"/>
      <c r="J9" s="102"/>
      <c r="K9" s="102"/>
      <c r="L9" s="102"/>
      <c r="M9" s="103"/>
    </row>
    <row r="10" spans="2:14" ht="76.5" customHeight="1">
      <c r="B10" s="24">
        <f>B9+1</f>
        <v>3</v>
      </c>
      <c r="C10" s="22"/>
      <c r="D10" s="26"/>
      <c r="F10" s="104"/>
      <c r="G10" s="105"/>
      <c r="H10" s="105"/>
      <c r="I10" s="105"/>
      <c r="J10" s="105"/>
      <c r="K10" s="105"/>
      <c r="L10" s="105"/>
      <c r="M10" s="106"/>
    </row>
    <row r="11" spans="2:14" ht="76.5" customHeight="1">
      <c r="B11" s="27">
        <f>B10+1</f>
        <v>4</v>
      </c>
      <c r="C11" s="23"/>
      <c r="D11" s="29"/>
      <c r="F11" s="107"/>
      <c r="G11" s="108"/>
      <c r="H11" s="108"/>
      <c r="I11" s="108"/>
      <c r="J11" s="108"/>
      <c r="K11" s="108"/>
      <c r="L11" s="108"/>
      <c r="M11" s="109"/>
    </row>
    <row r="12" spans="2:14" ht="19.5" customHeight="1">
      <c r="C12" s="15" t="s">
        <v>33</v>
      </c>
      <c r="D12" s="16">
        <f>SUM(D7:D11)</f>
        <v>0</v>
      </c>
    </row>
    <row r="13" spans="2:14" ht="19.5" customHeight="1">
      <c r="C13" s="15" t="s">
        <v>34</v>
      </c>
      <c r="D13" s="16">
        <f>COUNTA(D7:D11)</f>
        <v>0</v>
      </c>
      <c r="K13" s="17" t="s">
        <v>35</v>
      </c>
      <c r="L13" s="18">
        <f>D13+'3ος'!L69</f>
        <v>0</v>
      </c>
    </row>
    <row r="14" spans="2:14">
      <c r="N14" s="1"/>
    </row>
    <row r="15" spans="2:14" ht="18">
      <c r="B15" s="74" t="s">
        <v>24</v>
      </c>
      <c r="C15" s="74"/>
      <c r="D15" s="74"/>
    </row>
    <row r="17" spans="2:13" ht="18.75" customHeight="1">
      <c r="B17" s="10" t="s">
        <v>25</v>
      </c>
      <c r="C17" s="11" t="s">
        <v>26</v>
      </c>
      <c r="D17" s="32">
        <f>D3+7</f>
        <v>7</v>
      </c>
      <c r="E17" s="75">
        <f>D17</f>
        <v>7</v>
      </c>
      <c r="F17" s="76"/>
      <c r="G17" s="76"/>
    </row>
    <row r="18" spans="2:13" ht="18.75" customHeight="1">
      <c r="B18" s="12">
        <f>B4+1</f>
        <v>-6542.2857142857147</v>
      </c>
      <c r="C18" s="11" t="s">
        <v>27</v>
      </c>
      <c r="D18" s="31">
        <f>D17+4</f>
        <v>11</v>
      </c>
      <c r="E18" s="75">
        <f>D18</f>
        <v>11</v>
      </c>
      <c r="F18" s="76"/>
      <c r="G18" s="76"/>
    </row>
    <row r="20" spans="2:13" ht="31.5" customHeight="1">
      <c r="B20" s="13" t="s">
        <v>28</v>
      </c>
      <c r="C20" s="14" t="s">
        <v>29</v>
      </c>
      <c r="D20" s="13" t="s">
        <v>30</v>
      </c>
      <c r="F20" s="77" t="s">
        <v>31</v>
      </c>
      <c r="G20" s="77"/>
      <c r="H20" s="77"/>
      <c r="I20" s="77"/>
      <c r="J20" s="77"/>
      <c r="K20" s="77"/>
      <c r="L20" s="77"/>
      <c r="M20" s="77"/>
    </row>
    <row r="21" spans="2:13" ht="76.5" customHeight="1">
      <c r="B21" s="24">
        <f>D17</f>
        <v>7</v>
      </c>
      <c r="C21" s="22"/>
      <c r="D21" s="26"/>
      <c r="F21" s="110"/>
      <c r="G21" s="111"/>
      <c r="H21" s="111"/>
      <c r="I21" s="111"/>
      <c r="J21" s="111"/>
      <c r="K21" s="111"/>
      <c r="L21" s="111"/>
      <c r="M21" s="112"/>
    </row>
    <row r="22" spans="2:13" ht="76.5" customHeight="1">
      <c r="B22" s="24">
        <f>B21+1</f>
        <v>8</v>
      </c>
      <c r="C22" s="22"/>
      <c r="D22" s="26"/>
      <c r="F22" s="113"/>
      <c r="G22" s="114"/>
      <c r="H22" s="114"/>
      <c r="I22" s="114"/>
      <c r="J22" s="114"/>
      <c r="K22" s="114"/>
      <c r="L22" s="114"/>
      <c r="M22" s="115"/>
    </row>
    <row r="23" spans="2:13" ht="76.5" customHeight="1">
      <c r="B23" s="24">
        <f>B22+1</f>
        <v>9</v>
      </c>
      <c r="C23" s="22"/>
      <c r="D23" s="26"/>
    </row>
    <row r="24" spans="2:13" ht="76.5" customHeight="1">
      <c r="B24" s="24">
        <f>B23+1</f>
        <v>10</v>
      </c>
      <c r="C24" s="22"/>
      <c r="D24" s="26"/>
    </row>
    <row r="25" spans="2:13" ht="76.5" customHeight="1">
      <c r="B25" s="27">
        <f>B24+1</f>
        <v>11</v>
      </c>
      <c r="C25" s="23"/>
      <c r="D25" s="29"/>
    </row>
    <row r="26" spans="2:13" ht="19.5" customHeight="1">
      <c r="C26" s="15" t="s">
        <v>33</v>
      </c>
      <c r="D26" s="16">
        <f>SUM(D21:D25)</f>
        <v>0</v>
      </c>
    </row>
    <row r="27" spans="2:13" ht="19.5" customHeight="1">
      <c r="C27" s="15" t="s">
        <v>34</v>
      </c>
      <c r="D27" s="16">
        <f>COUNTA(D21:D25)</f>
        <v>0</v>
      </c>
      <c r="K27" s="17" t="s">
        <v>35</v>
      </c>
      <c r="L27" s="18">
        <f>D27+L13</f>
        <v>0</v>
      </c>
    </row>
    <row r="29" spans="2:13" ht="18">
      <c r="B29" s="74" t="s">
        <v>24</v>
      </c>
      <c r="C29" s="74"/>
      <c r="D29" s="74"/>
    </row>
    <row r="31" spans="2:13" ht="18.75" customHeight="1">
      <c r="B31" s="10" t="s">
        <v>25</v>
      </c>
      <c r="C31" s="11" t="s">
        <v>26</v>
      </c>
      <c r="D31" s="32">
        <f>D17+7</f>
        <v>14</v>
      </c>
      <c r="E31" s="75">
        <f>D31</f>
        <v>14</v>
      </c>
      <c r="F31" s="76"/>
      <c r="G31" s="76"/>
    </row>
    <row r="32" spans="2:13" ht="18.75" customHeight="1">
      <c r="B32" s="12">
        <f>B18+1</f>
        <v>-6541.2857142857147</v>
      </c>
      <c r="C32" s="11" t="s">
        <v>27</v>
      </c>
      <c r="D32" s="31">
        <f>D31+4</f>
        <v>18</v>
      </c>
      <c r="E32" s="75">
        <f>D32</f>
        <v>18</v>
      </c>
      <c r="F32" s="76"/>
      <c r="G32" s="76"/>
    </row>
    <row r="34" spans="2:13" ht="31.5" customHeight="1">
      <c r="B34" s="13" t="s">
        <v>28</v>
      </c>
      <c r="C34" s="14" t="s">
        <v>29</v>
      </c>
      <c r="D34" s="13" t="s">
        <v>30</v>
      </c>
      <c r="F34" s="77" t="s">
        <v>31</v>
      </c>
      <c r="G34" s="77"/>
      <c r="H34" s="77"/>
      <c r="I34" s="77"/>
      <c r="J34" s="77"/>
      <c r="K34" s="77"/>
      <c r="L34" s="77"/>
      <c r="M34" s="77"/>
    </row>
    <row r="35" spans="2:13" ht="76.5" customHeight="1">
      <c r="B35" s="24">
        <f>D31</f>
        <v>14</v>
      </c>
      <c r="C35" s="25"/>
      <c r="D35" s="26"/>
      <c r="F35" s="110"/>
      <c r="G35" s="111"/>
      <c r="H35" s="111"/>
      <c r="I35" s="111"/>
      <c r="J35" s="111"/>
      <c r="K35" s="111"/>
      <c r="L35" s="111"/>
      <c r="M35" s="112"/>
    </row>
    <row r="36" spans="2:13" ht="76.5" customHeight="1">
      <c r="B36" s="24">
        <f>B35+1</f>
        <v>15</v>
      </c>
      <c r="C36" s="25"/>
      <c r="D36" s="26"/>
      <c r="F36" s="113"/>
      <c r="G36" s="114"/>
      <c r="H36" s="114"/>
      <c r="I36" s="114"/>
      <c r="J36" s="114"/>
      <c r="K36" s="114"/>
      <c r="L36" s="114"/>
      <c r="M36" s="115"/>
    </row>
    <row r="37" spans="2:13" ht="76.5" customHeight="1">
      <c r="B37" s="24">
        <f>B36+1</f>
        <v>16</v>
      </c>
      <c r="C37" s="25"/>
      <c r="D37" s="26"/>
    </row>
    <row r="38" spans="2:13" ht="76.5" customHeight="1">
      <c r="B38" s="24">
        <f>B37+1</f>
        <v>17</v>
      </c>
      <c r="C38" s="25"/>
      <c r="D38" s="26"/>
    </row>
    <row r="39" spans="2:13" ht="76.5" customHeight="1">
      <c r="B39" s="27">
        <f>B38+1</f>
        <v>18</v>
      </c>
      <c r="C39" s="28"/>
      <c r="D39" s="29"/>
    </row>
    <row r="40" spans="2:13" ht="19.5" customHeight="1">
      <c r="C40" s="15" t="s">
        <v>33</v>
      </c>
      <c r="D40" s="16">
        <f>SUM(D35:D39)</f>
        <v>0</v>
      </c>
    </row>
    <row r="41" spans="2:13" ht="19.5" customHeight="1">
      <c r="C41" s="15" t="s">
        <v>34</v>
      </c>
      <c r="D41" s="16">
        <f>COUNTA(D35:D39)</f>
        <v>0</v>
      </c>
      <c r="K41" s="17" t="s">
        <v>35</v>
      </c>
      <c r="L41" s="18">
        <f>D41+L27</f>
        <v>0</v>
      </c>
    </row>
    <row r="43" spans="2:13" ht="18">
      <c r="B43" s="74" t="s">
        <v>24</v>
      </c>
      <c r="C43" s="74"/>
      <c r="D43" s="74"/>
    </row>
    <row r="45" spans="2:13" ht="18.75" customHeight="1">
      <c r="B45" s="10" t="s">
        <v>25</v>
      </c>
      <c r="C45" s="11" t="s">
        <v>26</v>
      </c>
      <c r="D45" s="32">
        <f>D31+7</f>
        <v>21</v>
      </c>
      <c r="E45" s="75">
        <f>D45</f>
        <v>21</v>
      </c>
      <c r="F45" s="76"/>
      <c r="G45" s="76"/>
    </row>
    <row r="46" spans="2:13" ht="18.75" customHeight="1">
      <c r="B46" s="12">
        <f>B32+1</f>
        <v>-6540.2857142857147</v>
      </c>
      <c r="C46" s="11" t="s">
        <v>27</v>
      </c>
      <c r="D46" s="31">
        <f>D45+4</f>
        <v>25</v>
      </c>
      <c r="E46" s="75">
        <f>D46</f>
        <v>25</v>
      </c>
      <c r="F46" s="76"/>
      <c r="G46" s="76"/>
    </row>
    <row r="48" spans="2:13" ht="31.5" customHeight="1">
      <c r="B48" s="13" t="s">
        <v>28</v>
      </c>
      <c r="C48" s="14" t="s">
        <v>29</v>
      </c>
      <c r="D48" s="13" t="s">
        <v>30</v>
      </c>
      <c r="F48" s="77" t="s">
        <v>31</v>
      </c>
      <c r="G48" s="77"/>
      <c r="H48" s="77"/>
      <c r="I48" s="77"/>
      <c r="J48" s="77"/>
      <c r="K48" s="77"/>
      <c r="L48" s="77"/>
      <c r="M48" s="77"/>
    </row>
    <row r="49" spans="2:13" ht="76.5" customHeight="1">
      <c r="B49" s="24">
        <f>D45</f>
        <v>21</v>
      </c>
      <c r="C49" s="25"/>
      <c r="D49" s="26"/>
      <c r="F49" s="110"/>
      <c r="G49" s="111"/>
      <c r="H49" s="111"/>
      <c r="I49" s="111"/>
      <c r="J49" s="111"/>
      <c r="K49" s="111"/>
      <c r="L49" s="111"/>
      <c r="M49" s="112"/>
    </row>
    <row r="50" spans="2:13" ht="76.5" customHeight="1">
      <c r="B50" s="24">
        <f>B49+1</f>
        <v>22</v>
      </c>
      <c r="C50" s="25"/>
      <c r="D50" s="26"/>
      <c r="F50" s="113"/>
      <c r="G50" s="114"/>
      <c r="H50" s="114"/>
      <c r="I50" s="114"/>
      <c r="J50" s="114"/>
      <c r="K50" s="114"/>
      <c r="L50" s="114"/>
      <c r="M50" s="115"/>
    </row>
    <row r="51" spans="2:13" ht="76.5" customHeight="1">
      <c r="B51" s="24">
        <f>B50+1</f>
        <v>23</v>
      </c>
      <c r="C51" s="25"/>
      <c r="D51" s="26"/>
    </row>
    <row r="52" spans="2:13" ht="76.5" customHeight="1">
      <c r="B52" s="24">
        <f>B51+1</f>
        <v>24</v>
      </c>
      <c r="C52" s="25"/>
      <c r="D52" s="26"/>
    </row>
    <row r="53" spans="2:13" ht="76.5" customHeight="1">
      <c r="B53" s="27">
        <f>B52+1</f>
        <v>25</v>
      </c>
      <c r="C53" s="28"/>
      <c r="D53" s="29"/>
    </row>
    <row r="54" spans="2:13" ht="19.5" customHeight="1">
      <c r="C54" s="15" t="s">
        <v>33</v>
      </c>
      <c r="D54" s="16">
        <f>SUM(D49:D53)</f>
        <v>0</v>
      </c>
    </row>
    <row r="55" spans="2:13" ht="19.5" customHeight="1">
      <c r="C55" s="15" t="s">
        <v>34</v>
      </c>
      <c r="D55" s="16">
        <f>COUNTA(D49:D53)</f>
        <v>0</v>
      </c>
      <c r="K55" s="17" t="s">
        <v>35</v>
      </c>
      <c r="L55" s="18">
        <f>D55+L41</f>
        <v>0</v>
      </c>
    </row>
    <row r="57" spans="2:13" ht="18">
      <c r="B57" s="74" t="s">
        <v>24</v>
      </c>
      <c r="C57" s="74"/>
      <c r="D57" s="74"/>
    </row>
    <row r="59" spans="2:13" ht="18.75" customHeight="1">
      <c r="B59" s="10" t="s">
        <v>25</v>
      </c>
      <c r="C59" s="11" t="s">
        <v>26</v>
      </c>
      <c r="D59" s="32">
        <f>D45+7</f>
        <v>28</v>
      </c>
      <c r="E59" s="75">
        <f>D59</f>
        <v>28</v>
      </c>
      <c r="F59" s="76"/>
      <c r="G59" s="76"/>
    </row>
    <row r="60" spans="2:13" ht="18.75" customHeight="1">
      <c r="B60" s="12">
        <f>B46+1</f>
        <v>-6539.2857142857147</v>
      </c>
      <c r="C60" s="11" t="s">
        <v>27</v>
      </c>
      <c r="D60" s="31">
        <f>D59+4</f>
        <v>32</v>
      </c>
      <c r="E60" s="75">
        <f>D60</f>
        <v>32</v>
      </c>
      <c r="F60" s="76"/>
      <c r="G60" s="76"/>
    </row>
    <row r="62" spans="2:13" ht="31.5" customHeight="1">
      <c r="B62" s="13" t="s">
        <v>28</v>
      </c>
      <c r="C62" s="14" t="s">
        <v>29</v>
      </c>
      <c r="D62" s="13" t="s">
        <v>30</v>
      </c>
      <c r="F62" s="77" t="s">
        <v>31</v>
      </c>
      <c r="G62" s="77"/>
      <c r="H62" s="77"/>
      <c r="I62" s="77"/>
      <c r="J62" s="77"/>
      <c r="K62" s="77"/>
      <c r="L62" s="77"/>
      <c r="M62" s="77"/>
    </row>
    <row r="63" spans="2:13" ht="76.5" customHeight="1">
      <c r="B63" s="24">
        <f>D59</f>
        <v>28</v>
      </c>
      <c r="C63" s="25"/>
      <c r="D63" s="26"/>
      <c r="F63" s="110"/>
      <c r="G63" s="111"/>
      <c r="H63" s="111"/>
      <c r="I63" s="111"/>
      <c r="J63" s="111"/>
      <c r="K63" s="111"/>
      <c r="L63" s="111"/>
      <c r="M63" s="112"/>
    </row>
    <row r="64" spans="2:13" ht="76.5" customHeight="1">
      <c r="B64" s="24">
        <f>B63+1</f>
        <v>29</v>
      </c>
      <c r="C64" s="25"/>
      <c r="D64" s="26"/>
      <c r="F64" s="113"/>
      <c r="G64" s="114"/>
      <c r="H64" s="114"/>
      <c r="I64" s="114"/>
      <c r="J64" s="114"/>
      <c r="K64" s="114"/>
      <c r="L64" s="114"/>
      <c r="M64" s="115"/>
    </row>
    <row r="65" spans="2:12" ht="76.5" customHeight="1">
      <c r="B65" s="24">
        <f>B64+1</f>
        <v>30</v>
      </c>
      <c r="C65" s="25"/>
      <c r="D65" s="26"/>
    </row>
    <row r="66" spans="2:12" ht="76.5" customHeight="1">
      <c r="B66" s="24">
        <f>B65+1</f>
        <v>31</v>
      </c>
      <c r="C66" s="25"/>
      <c r="D66" s="26"/>
    </row>
    <row r="67" spans="2:12" ht="76.5" customHeight="1">
      <c r="B67" s="27">
        <f>B66+1</f>
        <v>32</v>
      </c>
      <c r="C67" s="28"/>
      <c r="D67" s="29"/>
    </row>
    <row r="68" spans="2:12" ht="19.5" customHeight="1">
      <c r="C68" s="15" t="s">
        <v>33</v>
      </c>
      <c r="D68" s="16">
        <f>SUM(D63:D67)</f>
        <v>0</v>
      </c>
    </row>
    <row r="69" spans="2:12" ht="19.5" customHeight="1">
      <c r="C69" s="15" t="s">
        <v>34</v>
      </c>
      <c r="D69" s="16">
        <f>COUNTA(D63:D67)</f>
        <v>0</v>
      </c>
      <c r="K69" s="17" t="s">
        <v>35</v>
      </c>
      <c r="L69" s="18">
        <f>D69+L55</f>
        <v>0</v>
      </c>
    </row>
    <row r="73" spans="2:12" ht="16.5">
      <c r="B73" s="98" t="s">
        <v>36</v>
      </c>
      <c r="C73" s="99"/>
      <c r="D73" s="100"/>
    </row>
    <row r="74" spans="2:12" ht="150" customHeight="1">
      <c r="B74" s="116"/>
      <c r="C74" s="117"/>
      <c r="D74" s="118"/>
    </row>
    <row r="77" spans="2:12" ht="16.5">
      <c r="B77" s="98" t="s">
        <v>37</v>
      </c>
      <c r="C77" s="99"/>
      <c r="D77" s="100"/>
    </row>
    <row r="78" spans="2:12" ht="150" customHeight="1">
      <c r="B78" s="95"/>
      <c r="C78" s="96"/>
      <c r="D78" s="97"/>
    </row>
  </sheetData>
  <sheetProtection algorithmName="SHA-512" hashValue="J7xEv1hV7BBhXRmdTVH2Motb55098vp4Ww7LJtxc0N/oU0QbhvUPS9/lNN6rk94SLAuhBB78CB9vko98UXy3wQ==" saltValue="HkIgoVrQAJDuBghENCHPoA==" spinCount="100000" sheet="1" objects="1" scenarios="1" selectLockedCells="1"/>
  <mergeCells count="30">
    <mergeCell ref="B78:D78"/>
    <mergeCell ref="E46:G46"/>
    <mergeCell ref="F48:M48"/>
    <mergeCell ref="F49:M50"/>
    <mergeCell ref="B57:D57"/>
    <mergeCell ref="E59:G59"/>
    <mergeCell ref="E60:G60"/>
    <mergeCell ref="F62:M62"/>
    <mergeCell ref="F63:M64"/>
    <mergeCell ref="B73:D73"/>
    <mergeCell ref="B74:D74"/>
    <mergeCell ref="B77:D77"/>
    <mergeCell ref="E45:G45"/>
    <mergeCell ref="B15:D15"/>
    <mergeCell ref="E17:G17"/>
    <mergeCell ref="E18:G18"/>
    <mergeCell ref="F20:M20"/>
    <mergeCell ref="F21:M22"/>
    <mergeCell ref="B29:D29"/>
    <mergeCell ref="E31:G31"/>
    <mergeCell ref="E32:G32"/>
    <mergeCell ref="F34:M34"/>
    <mergeCell ref="F35:M36"/>
    <mergeCell ref="B43:D43"/>
    <mergeCell ref="F9:M11"/>
    <mergeCell ref="B1:D1"/>
    <mergeCell ref="E3:G3"/>
    <mergeCell ref="E4:G4"/>
    <mergeCell ref="F6:M6"/>
    <mergeCell ref="F7:M8"/>
  </mergeCells>
  <conditionalFormatting sqref="E3:G3">
    <cfRule type="cellIs" dxfId="7" priority="2" operator="notEqual">
      <formula>2</formula>
    </cfRule>
  </conditionalFormatting>
  <conditionalFormatting sqref="E4:G4">
    <cfRule type="cellIs" dxfId="6" priority="1" operator="notEqual">
      <formula>6</formula>
    </cfRule>
  </conditionalFormatting>
  <pageMargins left="0.12" right="0.2" top="0.33" bottom="0.28000000000000003" header="0.17" footer="0.14000000000000001"/>
  <pageSetup paperSize="9" orientation="landscape" horizontalDpi="4294967293" verticalDpi="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N78"/>
  <sheetViews>
    <sheetView topLeftCell="A10" workbookViewId="0">
      <selection activeCell="C24" sqref="C24"/>
    </sheetView>
  </sheetViews>
  <sheetFormatPr defaultRowHeight="15"/>
  <cols>
    <col min="1" max="1" width="1.42578125" customWidth="1"/>
    <col min="2" max="2" width="14.28515625" style="1" customWidth="1"/>
    <col min="3" max="3" width="48.5703125" customWidth="1"/>
    <col min="4" max="4" width="12.140625" style="1" customWidth="1"/>
    <col min="5" max="5" width="2.7109375" customWidth="1"/>
    <col min="6" max="13" width="8" customWidth="1"/>
  </cols>
  <sheetData>
    <row r="1" spans="2:14" ht="18">
      <c r="B1" s="74" t="s">
        <v>24</v>
      </c>
      <c r="C1" s="74"/>
      <c r="D1" s="74"/>
    </row>
    <row r="3" spans="2:14" ht="18.75" customHeight="1">
      <c r="B3" s="10" t="s">
        <v>25</v>
      </c>
      <c r="C3" s="11" t="s">
        <v>26</v>
      </c>
      <c r="D3" s="30"/>
      <c r="E3" s="78">
        <f>WEEKDAY(D3)</f>
        <v>7</v>
      </c>
      <c r="F3" s="79"/>
      <c r="G3" s="79"/>
    </row>
    <row r="4" spans="2:14" ht="18.75" customHeight="1">
      <c r="B4" s="34">
        <f>('5ος'!D3-'Στοιχεία Πρακτικής'!C21)/7 + 1</f>
        <v>-6543.2857142857147</v>
      </c>
      <c r="C4" s="11" t="s">
        <v>27</v>
      </c>
      <c r="D4" s="31">
        <f>D3+4</f>
        <v>4</v>
      </c>
      <c r="E4" s="78">
        <f>WEEKDAY(D4)</f>
        <v>4</v>
      </c>
      <c r="F4" s="79"/>
      <c r="G4" s="79"/>
    </row>
    <row r="6" spans="2:14" ht="31.5" customHeight="1">
      <c r="B6" s="13" t="s">
        <v>28</v>
      </c>
      <c r="C6" s="14" t="s">
        <v>29</v>
      </c>
      <c r="D6" s="13" t="s">
        <v>30</v>
      </c>
      <c r="F6" s="77" t="s">
        <v>31</v>
      </c>
      <c r="G6" s="77"/>
      <c r="H6" s="77"/>
      <c r="I6" s="77"/>
      <c r="J6" s="77"/>
      <c r="K6" s="77"/>
      <c r="L6" s="77"/>
      <c r="M6" s="77"/>
    </row>
    <row r="7" spans="2:14" ht="76.5" customHeight="1">
      <c r="B7" s="24">
        <f>D3</f>
        <v>0</v>
      </c>
      <c r="C7" s="22"/>
      <c r="D7" s="26"/>
      <c r="F7" s="89"/>
      <c r="G7" s="90"/>
      <c r="H7" s="90"/>
      <c r="I7" s="90"/>
      <c r="J7" s="90"/>
      <c r="K7" s="90"/>
      <c r="L7" s="90"/>
      <c r="M7" s="91"/>
    </row>
    <row r="8" spans="2:14" ht="76.5" customHeight="1">
      <c r="B8" s="24">
        <f>B7+1</f>
        <v>1</v>
      </c>
      <c r="C8" s="22"/>
      <c r="D8" s="26"/>
      <c r="F8" s="92"/>
      <c r="G8" s="93"/>
      <c r="H8" s="93"/>
      <c r="I8" s="93"/>
      <c r="J8" s="93"/>
      <c r="K8" s="93"/>
      <c r="L8" s="93"/>
      <c r="M8" s="94"/>
    </row>
    <row r="9" spans="2:14" ht="76.5" customHeight="1">
      <c r="B9" s="24">
        <f>B8+1</f>
        <v>2</v>
      </c>
      <c r="C9" s="22"/>
      <c r="D9" s="26"/>
      <c r="F9" s="101" t="str">
        <f>'1ος'!F9:M11</f>
        <v>- Ο ασκούμενος γράφει ΜΟΝΟ σε πράσινα κελιά.
- Οι εβδομάδες ξεκινούν πάντα Δευτέρα και λήγουν Παρασκευή.
   Αυτό προκύπτει αυτόματα εφόσον το κελί D3 (όταν είναι πράσινο)
   συμπληρωθεί σωστά.
- Κάθε μήνας έχει χώρο 5 εβδομάδων. Χρησιμοποιήστε ΜΟΝΟ όσες
   χρειάζονται για να ολοκληρωθεί ο μήνας. Μετά αλλάξτε φύλλο.
- Σε φύλλο δεδομένου μήνα, χρησιμοποήστε ΜΟΝΟ τις μέρες αυτού
   του μήνα. Τυχόν μέρες άλλων μηνών (στην αρχή ή στο τέλος του
   φύλλου) θα πρέπει να αφήνονται κενές.
- Εβδομάδα που μοιράζεται σε 2 μήνες, θα πρέπει να έχει ίδιο
   αύξοντα αριθμό. Αν δεν έχει, τότε συμπληρώσατε λάθος το D3.
- Σε ημέρες που δεν εργαστήκατε να αναγράφετε τον λόγο (π.χ. Αργία 
   Εθνική Εορτή, κτλ). και να αφήνετε ΚΕΝΟ το κελί ωρών εργασίας.</v>
      </c>
      <c r="G9" s="102"/>
      <c r="H9" s="102"/>
      <c r="I9" s="102"/>
      <c r="J9" s="102"/>
      <c r="K9" s="102"/>
      <c r="L9" s="102"/>
      <c r="M9" s="103"/>
    </row>
    <row r="10" spans="2:14" ht="76.5" customHeight="1">
      <c r="B10" s="24">
        <f>B9+1</f>
        <v>3</v>
      </c>
      <c r="C10" s="22"/>
      <c r="D10" s="26"/>
      <c r="F10" s="104"/>
      <c r="G10" s="105"/>
      <c r="H10" s="105"/>
      <c r="I10" s="105"/>
      <c r="J10" s="105"/>
      <c r="K10" s="105"/>
      <c r="L10" s="105"/>
      <c r="M10" s="106"/>
    </row>
    <row r="11" spans="2:14" ht="76.5" customHeight="1">
      <c r="B11" s="27">
        <f>B10+1</f>
        <v>4</v>
      </c>
      <c r="C11" s="23"/>
      <c r="D11" s="29"/>
      <c r="F11" s="107"/>
      <c r="G11" s="108"/>
      <c r="H11" s="108"/>
      <c r="I11" s="108"/>
      <c r="J11" s="108"/>
      <c r="K11" s="108"/>
      <c r="L11" s="108"/>
      <c r="M11" s="109"/>
    </row>
    <row r="12" spans="2:14" ht="19.5" customHeight="1">
      <c r="C12" s="15" t="s">
        <v>33</v>
      </c>
      <c r="D12" s="16">
        <f>SUM(D7:D11)</f>
        <v>0</v>
      </c>
    </row>
    <row r="13" spans="2:14" ht="19.5" customHeight="1">
      <c r="C13" s="15" t="s">
        <v>34</v>
      </c>
      <c r="D13" s="16">
        <f>COUNTA(D7:D11)</f>
        <v>0</v>
      </c>
      <c r="K13" s="17" t="s">
        <v>35</v>
      </c>
      <c r="L13" s="18">
        <f>D13+'4ος'!L69</f>
        <v>0</v>
      </c>
    </row>
    <row r="14" spans="2:14">
      <c r="N14" s="1"/>
    </row>
    <row r="15" spans="2:14" ht="18">
      <c r="B15" s="74" t="s">
        <v>24</v>
      </c>
      <c r="C15" s="74"/>
      <c r="D15" s="74"/>
    </row>
    <row r="17" spans="2:13" ht="18.75" customHeight="1">
      <c r="B17" s="10" t="s">
        <v>25</v>
      </c>
      <c r="C17" s="11" t="s">
        <v>26</v>
      </c>
      <c r="D17" s="32">
        <f>D3+7</f>
        <v>7</v>
      </c>
      <c r="E17" s="75">
        <f>D17</f>
        <v>7</v>
      </c>
      <c r="F17" s="76"/>
      <c r="G17" s="76"/>
    </row>
    <row r="18" spans="2:13" ht="18.75" customHeight="1">
      <c r="B18" s="12">
        <f>B4+1</f>
        <v>-6542.2857142857147</v>
      </c>
      <c r="C18" s="11" t="s">
        <v>27</v>
      </c>
      <c r="D18" s="31">
        <f>D17+4</f>
        <v>11</v>
      </c>
      <c r="E18" s="75">
        <f>D18</f>
        <v>11</v>
      </c>
      <c r="F18" s="76"/>
      <c r="G18" s="76"/>
    </row>
    <row r="20" spans="2:13" ht="31.5" customHeight="1">
      <c r="B20" s="13" t="s">
        <v>28</v>
      </c>
      <c r="C20" s="14" t="s">
        <v>29</v>
      </c>
      <c r="D20" s="13" t="s">
        <v>30</v>
      </c>
      <c r="F20" s="77" t="s">
        <v>31</v>
      </c>
      <c r="G20" s="77"/>
      <c r="H20" s="77"/>
      <c r="I20" s="77"/>
      <c r="J20" s="77"/>
      <c r="K20" s="77"/>
      <c r="L20" s="77"/>
      <c r="M20" s="77"/>
    </row>
    <row r="21" spans="2:13" ht="76.5" customHeight="1">
      <c r="B21" s="24">
        <f>D17</f>
        <v>7</v>
      </c>
      <c r="C21" s="22"/>
      <c r="D21" s="26"/>
      <c r="F21" s="110"/>
      <c r="G21" s="111"/>
      <c r="H21" s="111"/>
      <c r="I21" s="111"/>
      <c r="J21" s="111"/>
      <c r="K21" s="111"/>
      <c r="L21" s="111"/>
      <c r="M21" s="112"/>
    </row>
    <row r="22" spans="2:13" ht="76.5" customHeight="1">
      <c r="B22" s="24">
        <f>B21+1</f>
        <v>8</v>
      </c>
      <c r="C22" s="22"/>
      <c r="D22" s="26"/>
      <c r="F22" s="113"/>
      <c r="G22" s="114"/>
      <c r="H22" s="114"/>
      <c r="I22" s="114"/>
      <c r="J22" s="114"/>
      <c r="K22" s="114"/>
      <c r="L22" s="114"/>
      <c r="M22" s="115"/>
    </row>
    <row r="23" spans="2:13" ht="76.5" customHeight="1">
      <c r="B23" s="24">
        <f>B22+1</f>
        <v>9</v>
      </c>
      <c r="C23" s="22"/>
      <c r="D23" s="26"/>
    </row>
    <row r="24" spans="2:13" ht="76.5" customHeight="1">
      <c r="B24" s="24">
        <f>B23+1</f>
        <v>10</v>
      </c>
      <c r="C24" s="22"/>
      <c r="D24" s="26"/>
    </row>
    <row r="25" spans="2:13" ht="76.5" customHeight="1">
      <c r="B25" s="27">
        <f>B24+1</f>
        <v>11</v>
      </c>
      <c r="C25" s="23"/>
      <c r="D25" s="29"/>
    </row>
    <row r="26" spans="2:13" ht="19.5" customHeight="1">
      <c r="C26" s="15" t="s">
        <v>33</v>
      </c>
      <c r="D26" s="16">
        <f>SUM(D21:D25)</f>
        <v>0</v>
      </c>
    </row>
    <row r="27" spans="2:13" ht="19.5" customHeight="1">
      <c r="C27" s="15" t="s">
        <v>34</v>
      </c>
      <c r="D27" s="16">
        <f>COUNTA(D21:D25)</f>
        <v>0</v>
      </c>
      <c r="K27" s="17" t="s">
        <v>35</v>
      </c>
      <c r="L27" s="18">
        <f>D27+L13</f>
        <v>0</v>
      </c>
    </row>
    <row r="29" spans="2:13" ht="18">
      <c r="B29" s="74" t="s">
        <v>24</v>
      </c>
      <c r="C29" s="74"/>
      <c r="D29" s="74"/>
    </row>
    <row r="31" spans="2:13" ht="18.75" customHeight="1">
      <c r="B31" s="10" t="s">
        <v>25</v>
      </c>
      <c r="C31" s="11" t="s">
        <v>26</v>
      </c>
      <c r="D31" s="32">
        <f>D17+7</f>
        <v>14</v>
      </c>
      <c r="E31" s="75">
        <f>D31</f>
        <v>14</v>
      </c>
      <c r="F31" s="76"/>
      <c r="G31" s="76"/>
    </row>
    <row r="32" spans="2:13" ht="18.75" customHeight="1">
      <c r="B32" s="12">
        <f>B18+1</f>
        <v>-6541.2857142857147</v>
      </c>
      <c r="C32" s="11" t="s">
        <v>27</v>
      </c>
      <c r="D32" s="31">
        <f>D31+4</f>
        <v>18</v>
      </c>
      <c r="E32" s="75">
        <f>D32</f>
        <v>18</v>
      </c>
      <c r="F32" s="76"/>
      <c r="G32" s="76"/>
    </row>
    <row r="34" spans="2:13" ht="31.5" customHeight="1">
      <c r="B34" s="13" t="s">
        <v>28</v>
      </c>
      <c r="C34" s="14" t="s">
        <v>29</v>
      </c>
      <c r="D34" s="13" t="s">
        <v>30</v>
      </c>
      <c r="F34" s="77" t="s">
        <v>31</v>
      </c>
      <c r="G34" s="77"/>
      <c r="H34" s="77"/>
      <c r="I34" s="77"/>
      <c r="J34" s="77"/>
      <c r="K34" s="77"/>
      <c r="L34" s="77"/>
      <c r="M34" s="77"/>
    </row>
    <row r="35" spans="2:13" ht="76.5" customHeight="1">
      <c r="B35" s="24">
        <f>D31</f>
        <v>14</v>
      </c>
      <c r="C35" s="25"/>
      <c r="D35" s="26"/>
      <c r="F35" s="110"/>
      <c r="G35" s="111"/>
      <c r="H35" s="111"/>
      <c r="I35" s="111"/>
      <c r="J35" s="111"/>
      <c r="K35" s="111"/>
      <c r="L35" s="111"/>
      <c r="M35" s="112"/>
    </row>
    <row r="36" spans="2:13" ht="76.5" customHeight="1">
      <c r="B36" s="24">
        <f>B35+1</f>
        <v>15</v>
      </c>
      <c r="C36" s="25"/>
      <c r="D36" s="26"/>
      <c r="F36" s="113"/>
      <c r="G36" s="114"/>
      <c r="H36" s="114"/>
      <c r="I36" s="114"/>
      <c r="J36" s="114"/>
      <c r="K36" s="114"/>
      <c r="L36" s="114"/>
      <c r="M36" s="115"/>
    </row>
    <row r="37" spans="2:13" ht="76.5" customHeight="1">
      <c r="B37" s="24">
        <f>B36+1</f>
        <v>16</v>
      </c>
      <c r="C37" s="25"/>
      <c r="D37" s="26"/>
    </row>
    <row r="38" spans="2:13" ht="76.5" customHeight="1">
      <c r="B38" s="24">
        <f>B37+1</f>
        <v>17</v>
      </c>
      <c r="C38" s="25"/>
      <c r="D38" s="26"/>
    </row>
    <row r="39" spans="2:13" ht="76.5" customHeight="1">
      <c r="B39" s="27">
        <f>B38+1</f>
        <v>18</v>
      </c>
      <c r="C39" s="28"/>
      <c r="D39" s="29"/>
    </row>
    <row r="40" spans="2:13" ht="19.5" customHeight="1">
      <c r="C40" s="15" t="s">
        <v>33</v>
      </c>
      <c r="D40" s="16">
        <f>SUM(D35:D39)</f>
        <v>0</v>
      </c>
    </row>
    <row r="41" spans="2:13" ht="19.5" customHeight="1">
      <c r="C41" s="15" t="s">
        <v>34</v>
      </c>
      <c r="D41" s="16">
        <f>COUNTA(D35:D39)</f>
        <v>0</v>
      </c>
      <c r="K41" s="17" t="s">
        <v>35</v>
      </c>
      <c r="L41" s="18">
        <f>D41+L27</f>
        <v>0</v>
      </c>
    </row>
    <row r="43" spans="2:13" ht="18">
      <c r="B43" s="74" t="s">
        <v>24</v>
      </c>
      <c r="C43" s="74"/>
      <c r="D43" s="74"/>
    </row>
    <row r="45" spans="2:13" ht="18.75" customHeight="1">
      <c r="B45" s="10" t="s">
        <v>25</v>
      </c>
      <c r="C45" s="11" t="s">
        <v>26</v>
      </c>
      <c r="D45" s="32">
        <f>D31+7</f>
        <v>21</v>
      </c>
      <c r="E45" s="75">
        <f>D45</f>
        <v>21</v>
      </c>
      <c r="F45" s="76"/>
      <c r="G45" s="76"/>
    </row>
    <row r="46" spans="2:13" ht="18.75" customHeight="1">
      <c r="B46" s="12">
        <f>B32+1</f>
        <v>-6540.2857142857147</v>
      </c>
      <c r="C46" s="11" t="s">
        <v>27</v>
      </c>
      <c r="D46" s="31">
        <f>D45+4</f>
        <v>25</v>
      </c>
      <c r="E46" s="75">
        <f>D46</f>
        <v>25</v>
      </c>
      <c r="F46" s="76"/>
      <c r="G46" s="76"/>
    </row>
    <row r="48" spans="2:13" ht="31.5" customHeight="1">
      <c r="B48" s="13" t="s">
        <v>28</v>
      </c>
      <c r="C48" s="14" t="s">
        <v>29</v>
      </c>
      <c r="D48" s="13" t="s">
        <v>30</v>
      </c>
      <c r="F48" s="77" t="s">
        <v>31</v>
      </c>
      <c r="G48" s="77"/>
      <c r="H48" s="77"/>
      <c r="I48" s="77"/>
      <c r="J48" s="77"/>
      <c r="K48" s="77"/>
      <c r="L48" s="77"/>
      <c r="M48" s="77"/>
    </row>
    <row r="49" spans="2:13" ht="76.5" customHeight="1">
      <c r="B49" s="24">
        <f>D45</f>
        <v>21</v>
      </c>
      <c r="C49" s="25"/>
      <c r="D49" s="26"/>
      <c r="F49" s="110"/>
      <c r="G49" s="111"/>
      <c r="H49" s="111"/>
      <c r="I49" s="111"/>
      <c r="J49" s="111"/>
      <c r="K49" s="111"/>
      <c r="L49" s="111"/>
      <c r="M49" s="112"/>
    </row>
    <row r="50" spans="2:13" ht="76.5" customHeight="1">
      <c r="B50" s="24">
        <f>B49+1</f>
        <v>22</v>
      </c>
      <c r="C50" s="25"/>
      <c r="D50" s="26"/>
      <c r="F50" s="113"/>
      <c r="G50" s="114"/>
      <c r="H50" s="114"/>
      <c r="I50" s="114"/>
      <c r="J50" s="114"/>
      <c r="K50" s="114"/>
      <c r="L50" s="114"/>
      <c r="M50" s="115"/>
    </row>
    <row r="51" spans="2:13" ht="76.5" customHeight="1">
      <c r="B51" s="24">
        <f>B50+1</f>
        <v>23</v>
      </c>
      <c r="C51" s="25"/>
      <c r="D51" s="26"/>
    </row>
    <row r="52" spans="2:13" ht="76.5" customHeight="1">
      <c r="B52" s="24">
        <f>B51+1</f>
        <v>24</v>
      </c>
      <c r="C52" s="25"/>
      <c r="D52" s="26"/>
    </row>
    <row r="53" spans="2:13" ht="76.5" customHeight="1">
      <c r="B53" s="27">
        <f>B52+1</f>
        <v>25</v>
      </c>
      <c r="C53" s="28"/>
      <c r="D53" s="29"/>
    </row>
    <row r="54" spans="2:13" ht="19.5" customHeight="1">
      <c r="C54" s="15" t="s">
        <v>33</v>
      </c>
      <c r="D54" s="16">
        <f>SUM(D49:D53)</f>
        <v>0</v>
      </c>
    </row>
    <row r="55" spans="2:13" ht="19.5" customHeight="1">
      <c r="C55" s="15" t="s">
        <v>34</v>
      </c>
      <c r="D55" s="16">
        <f>COUNTA(D49:D53)</f>
        <v>0</v>
      </c>
      <c r="K55" s="17" t="s">
        <v>35</v>
      </c>
      <c r="L55" s="18">
        <f>D55+L41</f>
        <v>0</v>
      </c>
    </row>
    <row r="57" spans="2:13" ht="18">
      <c r="B57" s="74" t="s">
        <v>24</v>
      </c>
      <c r="C57" s="74"/>
      <c r="D57" s="74"/>
    </row>
    <row r="59" spans="2:13" ht="18.75" customHeight="1">
      <c r="B59" s="10" t="s">
        <v>25</v>
      </c>
      <c r="C59" s="11" t="s">
        <v>26</v>
      </c>
      <c r="D59" s="32">
        <f>D45+7</f>
        <v>28</v>
      </c>
      <c r="E59" s="75">
        <f>D59</f>
        <v>28</v>
      </c>
      <c r="F59" s="76"/>
      <c r="G59" s="76"/>
    </row>
    <row r="60" spans="2:13" ht="18.75" customHeight="1">
      <c r="B60" s="12">
        <f>B46+1</f>
        <v>-6539.2857142857147</v>
      </c>
      <c r="C60" s="11" t="s">
        <v>27</v>
      </c>
      <c r="D60" s="31">
        <f>D59+4</f>
        <v>32</v>
      </c>
      <c r="E60" s="75">
        <f>D60</f>
        <v>32</v>
      </c>
      <c r="F60" s="76"/>
      <c r="G60" s="76"/>
    </row>
    <row r="62" spans="2:13" ht="31.5" customHeight="1">
      <c r="B62" s="13" t="s">
        <v>28</v>
      </c>
      <c r="C62" s="14" t="s">
        <v>29</v>
      </c>
      <c r="D62" s="13" t="s">
        <v>30</v>
      </c>
      <c r="F62" s="77" t="s">
        <v>31</v>
      </c>
      <c r="G62" s="77"/>
      <c r="H62" s="77"/>
      <c r="I62" s="77"/>
      <c r="J62" s="77"/>
      <c r="K62" s="77"/>
      <c r="L62" s="77"/>
      <c r="M62" s="77"/>
    </row>
    <row r="63" spans="2:13" ht="76.5" customHeight="1">
      <c r="B63" s="24">
        <f>D59</f>
        <v>28</v>
      </c>
      <c r="C63" s="25"/>
      <c r="D63" s="26"/>
      <c r="F63" s="110"/>
      <c r="G63" s="111"/>
      <c r="H63" s="111"/>
      <c r="I63" s="111"/>
      <c r="J63" s="111"/>
      <c r="K63" s="111"/>
      <c r="L63" s="111"/>
      <c r="M63" s="112"/>
    </row>
    <row r="64" spans="2:13" ht="76.5" customHeight="1">
      <c r="B64" s="24">
        <f>B63+1</f>
        <v>29</v>
      </c>
      <c r="C64" s="25"/>
      <c r="D64" s="26"/>
      <c r="F64" s="113"/>
      <c r="G64" s="114"/>
      <c r="H64" s="114"/>
      <c r="I64" s="114"/>
      <c r="J64" s="114"/>
      <c r="K64" s="114"/>
      <c r="L64" s="114"/>
      <c r="M64" s="115"/>
    </row>
    <row r="65" spans="2:12" ht="76.5" customHeight="1">
      <c r="B65" s="24">
        <f>B64+1</f>
        <v>30</v>
      </c>
      <c r="C65" s="25"/>
      <c r="D65" s="26"/>
    </row>
    <row r="66" spans="2:12" ht="76.5" customHeight="1">
      <c r="B66" s="24">
        <f>B65+1</f>
        <v>31</v>
      </c>
      <c r="C66" s="25"/>
      <c r="D66" s="26"/>
    </row>
    <row r="67" spans="2:12" ht="76.5" customHeight="1">
      <c r="B67" s="27">
        <f>B66+1</f>
        <v>32</v>
      </c>
      <c r="C67" s="28"/>
      <c r="D67" s="29"/>
    </row>
    <row r="68" spans="2:12" ht="19.5" customHeight="1">
      <c r="C68" s="15" t="s">
        <v>33</v>
      </c>
      <c r="D68" s="16">
        <f>SUM(D63:D67)</f>
        <v>0</v>
      </c>
    </row>
    <row r="69" spans="2:12" ht="19.5" customHeight="1">
      <c r="C69" s="15" t="s">
        <v>34</v>
      </c>
      <c r="D69" s="16">
        <f>COUNTA(D63:D67)</f>
        <v>0</v>
      </c>
      <c r="K69" s="17" t="s">
        <v>35</v>
      </c>
      <c r="L69" s="18">
        <f>D69+L55</f>
        <v>0</v>
      </c>
    </row>
    <row r="73" spans="2:12" ht="16.5">
      <c r="B73" s="98" t="s">
        <v>36</v>
      </c>
      <c r="C73" s="99"/>
      <c r="D73" s="100"/>
    </row>
    <row r="74" spans="2:12" ht="150" customHeight="1">
      <c r="B74" s="116"/>
      <c r="C74" s="117"/>
      <c r="D74" s="118"/>
    </row>
    <row r="77" spans="2:12" ht="16.5">
      <c r="B77" s="98" t="s">
        <v>37</v>
      </c>
      <c r="C77" s="99"/>
      <c r="D77" s="100"/>
    </row>
    <row r="78" spans="2:12" ht="150" customHeight="1">
      <c r="B78" s="95"/>
      <c r="C78" s="96"/>
      <c r="D78" s="97"/>
    </row>
  </sheetData>
  <sheetProtection algorithmName="SHA-512" hashValue="uVddQ8yzmE519ieAbZskWzrrL7vGsv6ws270YYJ9VXYfgBYI0GrKEQmbnnSsFSO+ZFpOsXe71Jgqd98SGXQqmw==" saltValue="hkPvDXY/9uO8gpbWX4HUnQ==" spinCount="100000" sheet="1" objects="1" scenarios="1" selectLockedCells="1"/>
  <mergeCells count="30">
    <mergeCell ref="B78:D78"/>
    <mergeCell ref="E46:G46"/>
    <mergeCell ref="F48:M48"/>
    <mergeCell ref="F49:M50"/>
    <mergeCell ref="B57:D57"/>
    <mergeCell ref="E59:G59"/>
    <mergeCell ref="E60:G60"/>
    <mergeCell ref="F62:M62"/>
    <mergeCell ref="F63:M64"/>
    <mergeCell ref="B73:D73"/>
    <mergeCell ref="B74:D74"/>
    <mergeCell ref="B77:D77"/>
    <mergeCell ref="E45:G45"/>
    <mergeCell ref="B15:D15"/>
    <mergeCell ref="E17:G17"/>
    <mergeCell ref="E18:G18"/>
    <mergeCell ref="F20:M20"/>
    <mergeCell ref="F21:M22"/>
    <mergeCell ref="B29:D29"/>
    <mergeCell ref="E31:G31"/>
    <mergeCell ref="E32:G32"/>
    <mergeCell ref="F34:M34"/>
    <mergeCell ref="F35:M36"/>
    <mergeCell ref="B43:D43"/>
    <mergeCell ref="F9:M11"/>
    <mergeCell ref="B1:D1"/>
    <mergeCell ref="E3:G3"/>
    <mergeCell ref="E4:G4"/>
    <mergeCell ref="F6:M6"/>
    <mergeCell ref="F7:M8"/>
  </mergeCells>
  <conditionalFormatting sqref="E3:G3">
    <cfRule type="cellIs" dxfId="5" priority="2" operator="notEqual">
      <formula>2</formula>
    </cfRule>
  </conditionalFormatting>
  <conditionalFormatting sqref="E4:G4">
    <cfRule type="cellIs" dxfId="4" priority="1" operator="notEqual">
      <formula>6</formula>
    </cfRule>
  </conditionalFormatting>
  <pageMargins left="0.12" right="0.2" top="0.33" bottom="0.28000000000000003" header="0.17" footer="0.14000000000000001"/>
  <pageSetup paperSize="9" orientation="landscape" horizontalDpi="4294967293" verticalDpi="0"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N78"/>
  <sheetViews>
    <sheetView topLeftCell="A10" workbookViewId="0">
      <selection activeCell="C24" sqref="C24"/>
    </sheetView>
  </sheetViews>
  <sheetFormatPr defaultRowHeight="15"/>
  <cols>
    <col min="1" max="1" width="1.42578125" customWidth="1"/>
    <col min="2" max="2" width="14.28515625" style="1" customWidth="1"/>
    <col min="3" max="3" width="48.5703125" customWidth="1"/>
    <col min="4" max="4" width="12.140625" style="1" customWidth="1"/>
    <col min="5" max="5" width="2.7109375" customWidth="1"/>
    <col min="6" max="13" width="8" customWidth="1"/>
  </cols>
  <sheetData>
    <row r="1" spans="2:14" ht="18">
      <c r="B1" s="74" t="s">
        <v>24</v>
      </c>
      <c r="C1" s="74"/>
      <c r="D1" s="74"/>
    </row>
    <row r="3" spans="2:14" ht="18.75" customHeight="1">
      <c r="B3" s="10" t="s">
        <v>25</v>
      </c>
      <c r="C3" s="11" t="s">
        <v>26</v>
      </c>
      <c r="D3" s="30"/>
      <c r="E3" s="78">
        <f>WEEKDAY(D3)</f>
        <v>7</v>
      </c>
      <c r="F3" s="79"/>
      <c r="G3" s="79"/>
    </row>
    <row r="4" spans="2:14" ht="18.75" customHeight="1">
      <c r="B4" s="34">
        <f>('6ος'!D3-'Στοιχεία Πρακτικής'!C21)/7 + 1</f>
        <v>-6543.2857142857147</v>
      </c>
      <c r="C4" s="11" t="s">
        <v>27</v>
      </c>
      <c r="D4" s="31">
        <f>D3+4</f>
        <v>4</v>
      </c>
      <c r="E4" s="78">
        <f>WEEKDAY(D4)</f>
        <v>4</v>
      </c>
      <c r="F4" s="79"/>
      <c r="G4" s="79"/>
    </row>
    <row r="6" spans="2:14" ht="31.5" customHeight="1">
      <c r="B6" s="13" t="s">
        <v>28</v>
      </c>
      <c r="C6" s="14" t="s">
        <v>29</v>
      </c>
      <c r="D6" s="13" t="s">
        <v>30</v>
      </c>
      <c r="F6" s="77" t="s">
        <v>31</v>
      </c>
      <c r="G6" s="77"/>
      <c r="H6" s="77"/>
      <c r="I6" s="77"/>
      <c r="J6" s="77"/>
      <c r="K6" s="77"/>
      <c r="L6" s="77"/>
      <c r="M6" s="77"/>
    </row>
    <row r="7" spans="2:14" ht="76.5" customHeight="1">
      <c r="B7" s="24">
        <f>D3</f>
        <v>0</v>
      </c>
      <c r="C7" s="22"/>
      <c r="D7" s="26"/>
      <c r="F7" s="89"/>
      <c r="G7" s="90"/>
      <c r="H7" s="90"/>
      <c r="I7" s="90"/>
      <c r="J7" s="90"/>
      <c r="K7" s="90"/>
      <c r="L7" s="90"/>
      <c r="M7" s="91"/>
    </row>
    <row r="8" spans="2:14" ht="76.5" customHeight="1">
      <c r="B8" s="24">
        <f>B7+1</f>
        <v>1</v>
      </c>
      <c r="C8" s="22"/>
      <c r="D8" s="26"/>
      <c r="F8" s="92"/>
      <c r="G8" s="93"/>
      <c r="H8" s="93"/>
      <c r="I8" s="93"/>
      <c r="J8" s="93"/>
      <c r="K8" s="93"/>
      <c r="L8" s="93"/>
      <c r="M8" s="94"/>
    </row>
    <row r="9" spans="2:14" ht="76.5" customHeight="1">
      <c r="B9" s="24">
        <f>B8+1</f>
        <v>2</v>
      </c>
      <c r="C9" s="22"/>
      <c r="D9" s="26"/>
      <c r="F9" s="101" t="str">
        <f>'1ος'!F9:M11</f>
        <v>- Ο ασκούμενος γράφει ΜΟΝΟ σε πράσινα κελιά.
- Οι εβδομάδες ξεκινούν πάντα Δευτέρα και λήγουν Παρασκευή.
   Αυτό προκύπτει αυτόματα εφόσον το κελί D3 (όταν είναι πράσινο)
   συμπληρωθεί σωστά.
- Κάθε μήνας έχει χώρο 5 εβδομάδων. Χρησιμοποιήστε ΜΟΝΟ όσες
   χρειάζονται για να ολοκληρωθεί ο μήνας. Μετά αλλάξτε φύλλο.
- Σε φύλλο δεδομένου μήνα, χρησιμοποήστε ΜΟΝΟ τις μέρες αυτού
   του μήνα. Τυχόν μέρες άλλων μηνών (στην αρχή ή στο τέλος του
   φύλλου) θα πρέπει να αφήνονται κενές.
- Εβδομάδα που μοιράζεται σε 2 μήνες, θα πρέπει να έχει ίδιο
   αύξοντα αριθμό. Αν δεν έχει, τότε συμπληρώσατε λάθος το D3.
- Σε ημέρες που δεν εργαστήκατε να αναγράφετε τον λόγο (π.χ. Αργία 
   Εθνική Εορτή, κτλ). και να αφήνετε ΚΕΝΟ το κελί ωρών εργασίας.</v>
      </c>
      <c r="G9" s="102"/>
      <c r="H9" s="102"/>
      <c r="I9" s="102"/>
      <c r="J9" s="102"/>
      <c r="K9" s="102"/>
      <c r="L9" s="102"/>
      <c r="M9" s="103"/>
    </row>
    <row r="10" spans="2:14" ht="76.5" customHeight="1">
      <c r="B10" s="24">
        <f>B9+1</f>
        <v>3</v>
      </c>
      <c r="C10" s="22"/>
      <c r="D10" s="26"/>
      <c r="F10" s="104"/>
      <c r="G10" s="105"/>
      <c r="H10" s="105"/>
      <c r="I10" s="105"/>
      <c r="J10" s="105"/>
      <c r="K10" s="105"/>
      <c r="L10" s="105"/>
      <c r="M10" s="106"/>
    </row>
    <row r="11" spans="2:14" ht="76.5" customHeight="1">
      <c r="B11" s="27">
        <f>B10+1</f>
        <v>4</v>
      </c>
      <c r="C11" s="23"/>
      <c r="D11" s="29"/>
      <c r="F11" s="107"/>
      <c r="G11" s="108"/>
      <c r="H11" s="108"/>
      <c r="I11" s="108"/>
      <c r="J11" s="108"/>
      <c r="K11" s="108"/>
      <c r="L11" s="108"/>
      <c r="M11" s="109"/>
    </row>
    <row r="12" spans="2:14" ht="19.5" customHeight="1">
      <c r="C12" s="15" t="s">
        <v>33</v>
      </c>
      <c r="D12" s="16">
        <f>SUM(D7:D11)</f>
        <v>0</v>
      </c>
    </row>
    <row r="13" spans="2:14" ht="19.5" customHeight="1">
      <c r="C13" s="15" t="s">
        <v>34</v>
      </c>
      <c r="D13" s="16">
        <f>COUNTA(D7:D11)</f>
        <v>0</v>
      </c>
      <c r="K13" s="17" t="s">
        <v>35</v>
      </c>
      <c r="L13" s="18">
        <f>D13+'5ος'!L69</f>
        <v>0</v>
      </c>
    </row>
    <row r="14" spans="2:14">
      <c r="N14" s="1"/>
    </row>
    <row r="15" spans="2:14" ht="18">
      <c r="B15" s="74" t="s">
        <v>24</v>
      </c>
      <c r="C15" s="74"/>
      <c r="D15" s="74"/>
    </row>
    <row r="17" spans="2:13" ht="18.75" customHeight="1">
      <c r="B17" s="10" t="s">
        <v>25</v>
      </c>
      <c r="C17" s="11" t="s">
        <v>26</v>
      </c>
      <c r="D17" s="32">
        <f>D3+7</f>
        <v>7</v>
      </c>
      <c r="E17" s="75">
        <f>D17</f>
        <v>7</v>
      </c>
      <c r="F17" s="76"/>
      <c r="G17" s="76"/>
    </row>
    <row r="18" spans="2:13" ht="18.75" customHeight="1">
      <c r="B18" s="12">
        <f>B4+1</f>
        <v>-6542.2857142857147</v>
      </c>
      <c r="C18" s="11" t="s">
        <v>27</v>
      </c>
      <c r="D18" s="31">
        <f>D17+4</f>
        <v>11</v>
      </c>
      <c r="E18" s="75">
        <f>D18</f>
        <v>11</v>
      </c>
      <c r="F18" s="76"/>
      <c r="G18" s="76"/>
    </row>
    <row r="20" spans="2:13" ht="31.5" customHeight="1">
      <c r="B20" s="13" t="s">
        <v>28</v>
      </c>
      <c r="C20" s="14" t="s">
        <v>29</v>
      </c>
      <c r="D20" s="13" t="s">
        <v>30</v>
      </c>
      <c r="F20" s="77" t="s">
        <v>31</v>
      </c>
      <c r="G20" s="77"/>
      <c r="H20" s="77"/>
      <c r="I20" s="77"/>
      <c r="J20" s="77"/>
      <c r="K20" s="77"/>
      <c r="L20" s="77"/>
      <c r="M20" s="77"/>
    </row>
    <row r="21" spans="2:13" ht="76.5" customHeight="1">
      <c r="B21" s="24">
        <f>D17</f>
        <v>7</v>
      </c>
      <c r="C21" s="22"/>
      <c r="D21" s="26"/>
      <c r="F21" s="110"/>
      <c r="G21" s="111"/>
      <c r="H21" s="111"/>
      <c r="I21" s="111"/>
      <c r="J21" s="111"/>
      <c r="K21" s="111"/>
      <c r="L21" s="111"/>
      <c r="M21" s="112"/>
    </row>
    <row r="22" spans="2:13" ht="76.5" customHeight="1">
      <c r="B22" s="24">
        <f>B21+1</f>
        <v>8</v>
      </c>
      <c r="C22" s="22"/>
      <c r="D22" s="26"/>
      <c r="F22" s="113"/>
      <c r="G22" s="114"/>
      <c r="H22" s="114"/>
      <c r="I22" s="114"/>
      <c r="J22" s="114"/>
      <c r="K22" s="114"/>
      <c r="L22" s="114"/>
      <c r="M22" s="115"/>
    </row>
    <row r="23" spans="2:13" ht="76.5" customHeight="1">
      <c r="B23" s="24">
        <f>B22+1</f>
        <v>9</v>
      </c>
      <c r="C23" s="22"/>
      <c r="D23" s="26"/>
    </row>
    <row r="24" spans="2:13" ht="76.5" customHeight="1">
      <c r="B24" s="24">
        <f>B23+1</f>
        <v>10</v>
      </c>
      <c r="C24" s="22"/>
      <c r="D24" s="26"/>
    </row>
    <row r="25" spans="2:13" ht="76.5" customHeight="1">
      <c r="B25" s="27">
        <f>B24+1</f>
        <v>11</v>
      </c>
      <c r="C25" s="23"/>
      <c r="D25" s="29"/>
    </row>
    <row r="26" spans="2:13" ht="19.5" customHeight="1">
      <c r="C26" s="15" t="s">
        <v>33</v>
      </c>
      <c r="D26" s="16">
        <f>SUM(D21:D25)</f>
        <v>0</v>
      </c>
    </row>
    <row r="27" spans="2:13" ht="19.5" customHeight="1">
      <c r="C27" s="15" t="s">
        <v>34</v>
      </c>
      <c r="D27" s="16">
        <f>COUNTA(D21:D25)</f>
        <v>0</v>
      </c>
      <c r="K27" s="17" t="s">
        <v>35</v>
      </c>
      <c r="L27" s="18">
        <f>D27+L13</f>
        <v>0</v>
      </c>
    </row>
    <row r="29" spans="2:13" ht="18">
      <c r="B29" s="74" t="s">
        <v>24</v>
      </c>
      <c r="C29" s="74"/>
      <c r="D29" s="74"/>
    </row>
    <row r="31" spans="2:13" ht="18.75" customHeight="1">
      <c r="B31" s="10" t="s">
        <v>25</v>
      </c>
      <c r="C31" s="11" t="s">
        <v>26</v>
      </c>
      <c r="D31" s="32">
        <f>D17+7</f>
        <v>14</v>
      </c>
      <c r="E31" s="75">
        <f>D31</f>
        <v>14</v>
      </c>
      <c r="F31" s="76"/>
      <c r="G31" s="76"/>
    </row>
    <row r="32" spans="2:13" ht="18.75" customHeight="1">
      <c r="B32" s="12">
        <f>B18+1</f>
        <v>-6541.2857142857147</v>
      </c>
      <c r="C32" s="11" t="s">
        <v>27</v>
      </c>
      <c r="D32" s="31">
        <f>D31+4</f>
        <v>18</v>
      </c>
      <c r="E32" s="75">
        <f>D32</f>
        <v>18</v>
      </c>
      <c r="F32" s="76"/>
      <c r="G32" s="76"/>
    </row>
    <row r="34" spans="2:13" ht="31.5" customHeight="1">
      <c r="B34" s="13" t="s">
        <v>28</v>
      </c>
      <c r="C34" s="14" t="s">
        <v>29</v>
      </c>
      <c r="D34" s="13" t="s">
        <v>30</v>
      </c>
      <c r="F34" s="77" t="s">
        <v>31</v>
      </c>
      <c r="G34" s="77"/>
      <c r="H34" s="77"/>
      <c r="I34" s="77"/>
      <c r="J34" s="77"/>
      <c r="K34" s="77"/>
      <c r="L34" s="77"/>
      <c r="M34" s="77"/>
    </row>
    <row r="35" spans="2:13" ht="76.5" customHeight="1">
      <c r="B35" s="24">
        <f>D31</f>
        <v>14</v>
      </c>
      <c r="C35" s="25"/>
      <c r="D35" s="26"/>
      <c r="F35" s="110"/>
      <c r="G35" s="111"/>
      <c r="H35" s="111"/>
      <c r="I35" s="111"/>
      <c r="J35" s="111"/>
      <c r="K35" s="111"/>
      <c r="L35" s="111"/>
      <c r="M35" s="112"/>
    </row>
    <row r="36" spans="2:13" ht="76.5" customHeight="1">
      <c r="B36" s="24">
        <f>B35+1</f>
        <v>15</v>
      </c>
      <c r="C36" s="25"/>
      <c r="D36" s="26"/>
      <c r="F36" s="113"/>
      <c r="G36" s="114"/>
      <c r="H36" s="114"/>
      <c r="I36" s="114"/>
      <c r="J36" s="114"/>
      <c r="K36" s="114"/>
      <c r="L36" s="114"/>
      <c r="M36" s="115"/>
    </row>
    <row r="37" spans="2:13" ht="76.5" customHeight="1">
      <c r="B37" s="24">
        <f>B36+1</f>
        <v>16</v>
      </c>
      <c r="C37" s="25"/>
      <c r="D37" s="26"/>
    </row>
    <row r="38" spans="2:13" ht="76.5" customHeight="1">
      <c r="B38" s="24">
        <f>B37+1</f>
        <v>17</v>
      </c>
      <c r="C38" s="25"/>
      <c r="D38" s="26"/>
    </row>
    <row r="39" spans="2:13" ht="76.5" customHeight="1">
      <c r="B39" s="27">
        <f>B38+1</f>
        <v>18</v>
      </c>
      <c r="C39" s="28"/>
      <c r="D39" s="29"/>
    </row>
    <row r="40" spans="2:13" ht="19.5" customHeight="1">
      <c r="C40" s="15" t="s">
        <v>33</v>
      </c>
      <c r="D40" s="16">
        <f>SUM(D35:D39)</f>
        <v>0</v>
      </c>
    </row>
    <row r="41" spans="2:13" ht="19.5" customHeight="1">
      <c r="C41" s="15" t="s">
        <v>34</v>
      </c>
      <c r="D41" s="16">
        <f>COUNTA(D35:D39)</f>
        <v>0</v>
      </c>
      <c r="K41" s="17" t="s">
        <v>35</v>
      </c>
      <c r="L41" s="18">
        <f>D41+L27</f>
        <v>0</v>
      </c>
    </row>
    <row r="43" spans="2:13" ht="18">
      <c r="B43" s="74" t="s">
        <v>24</v>
      </c>
      <c r="C43" s="74"/>
      <c r="D43" s="74"/>
    </row>
    <row r="45" spans="2:13" ht="18.75" customHeight="1">
      <c r="B45" s="10" t="s">
        <v>25</v>
      </c>
      <c r="C45" s="11" t="s">
        <v>26</v>
      </c>
      <c r="D45" s="32">
        <f>D31+7</f>
        <v>21</v>
      </c>
      <c r="E45" s="75">
        <f>D45</f>
        <v>21</v>
      </c>
      <c r="F45" s="76"/>
      <c r="G45" s="76"/>
    </row>
    <row r="46" spans="2:13" ht="18.75" customHeight="1">
      <c r="B46" s="12">
        <f>B32+1</f>
        <v>-6540.2857142857147</v>
      </c>
      <c r="C46" s="11" t="s">
        <v>27</v>
      </c>
      <c r="D46" s="31">
        <f>D45+4</f>
        <v>25</v>
      </c>
      <c r="E46" s="75">
        <f>D46</f>
        <v>25</v>
      </c>
      <c r="F46" s="76"/>
      <c r="G46" s="76"/>
    </row>
    <row r="48" spans="2:13" ht="31.5" customHeight="1">
      <c r="B48" s="13" t="s">
        <v>28</v>
      </c>
      <c r="C48" s="14" t="s">
        <v>29</v>
      </c>
      <c r="D48" s="13" t="s">
        <v>30</v>
      </c>
      <c r="F48" s="77" t="s">
        <v>31</v>
      </c>
      <c r="G48" s="77"/>
      <c r="H48" s="77"/>
      <c r="I48" s="77"/>
      <c r="J48" s="77"/>
      <c r="K48" s="77"/>
      <c r="L48" s="77"/>
      <c r="M48" s="77"/>
    </row>
    <row r="49" spans="2:13" ht="76.5" customHeight="1">
      <c r="B49" s="24">
        <f>D45</f>
        <v>21</v>
      </c>
      <c r="C49" s="25"/>
      <c r="D49" s="26"/>
      <c r="F49" s="110"/>
      <c r="G49" s="111"/>
      <c r="H49" s="111"/>
      <c r="I49" s="111"/>
      <c r="J49" s="111"/>
      <c r="K49" s="111"/>
      <c r="L49" s="111"/>
      <c r="M49" s="112"/>
    </row>
    <row r="50" spans="2:13" ht="76.5" customHeight="1">
      <c r="B50" s="24">
        <f>B49+1</f>
        <v>22</v>
      </c>
      <c r="C50" s="25"/>
      <c r="D50" s="26"/>
      <c r="F50" s="113"/>
      <c r="G50" s="114"/>
      <c r="H50" s="114"/>
      <c r="I50" s="114"/>
      <c r="J50" s="114"/>
      <c r="K50" s="114"/>
      <c r="L50" s="114"/>
      <c r="M50" s="115"/>
    </row>
    <row r="51" spans="2:13" ht="76.5" customHeight="1">
      <c r="B51" s="24">
        <f>B50+1</f>
        <v>23</v>
      </c>
      <c r="C51" s="25"/>
      <c r="D51" s="26"/>
    </row>
    <row r="52" spans="2:13" ht="76.5" customHeight="1">
      <c r="B52" s="24">
        <f>B51+1</f>
        <v>24</v>
      </c>
      <c r="C52" s="25"/>
      <c r="D52" s="26"/>
    </row>
    <row r="53" spans="2:13" ht="76.5" customHeight="1">
      <c r="B53" s="27">
        <f>B52+1</f>
        <v>25</v>
      </c>
      <c r="C53" s="28"/>
      <c r="D53" s="29"/>
    </row>
    <row r="54" spans="2:13" ht="19.5" customHeight="1">
      <c r="C54" s="15" t="s">
        <v>33</v>
      </c>
      <c r="D54" s="16">
        <f>SUM(D49:D53)</f>
        <v>0</v>
      </c>
    </row>
    <row r="55" spans="2:13" ht="19.5" customHeight="1">
      <c r="C55" s="15" t="s">
        <v>34</v>
      </c>
      <c r="D55" s="16">
        <f>COUNTA(D49:D53)</f>
        <v>0</v>
      </c>
      <c r="K55" s="17" t="s">
        <v>35</v>
      </c>
      <c r="L55" s="18">
        <f>D55+L41</f>
        <v>0</v>
      </c>
    </row>
    <row r="57" spans="2:13" ht="18">
      <c r="B57" s="74" t="s">
        <v>24</v>
      </c>
      <c r="C57" s="74"/>
      <c r="D57" s="74"/>
    </row>
    <row r="59" spans="2:13" ht="18.75" customHeight="1">
      <c r="B59" s="10" t="s">
        <v>25</v>
      </c>
      <c r="C59" s="11" t="s">
        <v>26</v>
      </c>
      <c r="D59" s="32">
        <f>D45+7</f>
        <v>28</v>
      </c>
      <c r="E59" s="75">
        <f>D59</f>
        <v>28</v>
      </c>
      <c r="F59" s="76"/>
      <c r="G59" s="76"/>
    </row>
    <row r="60" spans="2:13" ht="18.75" customHeight="1">
      <c r="B60" s="12">
        <f>B46+1</f>
        <v>-6539.2857142857147</v>
      </c>
      <c r="C60" s="11" t="s">
        <v>27</v>
      </c>
      <c r="D60" s="31">
        <f>D59+4</f>
        <v>32</v>
      </c>
      <c r="E60" s="75">
        <f>D60</f>
        <v>32</v>
      </c>
      <c r="F60" s="76"/>
      <c r="G60" s="76"/>
    </row>
    <row r="62" spans="2:13" ht="31.5" customHeight="1">
      <c r="B62" s="13" t="s">
        <v>28</v>
      </c>
      <c r="C62" s="14" t="s">
        <v>29</v>
      </c>
      <c r="D62" s="13" t="s">
        <v>30</v>
      </c>
      <c r="F62" s="77" t="s">
        <v>31</v>
      </c>
      <c r="G62" s="77"/>
      <c r="H62" s="77"/>
      <c r="I62" s="77"/>
      <c r="J62" s="77"/>
      <c r="K62" s="77"/>
      <c r="L62" s="77"/>
      <c r="M62" s="77"/>
    </row>
    <row r="63" spans="2:13" ht="76.5" customHeight="1">
      <c r="B63" s="24">
        <f>D59</f>
        <v>28</v>
      </c>
      <c r="C63" s="25"/>
      <c r="D63" s="26"/>
      <c r="F63" s="110"/>
      <c r="G63" s="111"/>
      <c r="H63" s="111"/>
      <c r="I63" s="111"/>
      <c r="J63" s="111"/>
      <c r="K63" s="111"/>
      <c r="L63" s="111"/>
      <c r="M63" s="112"/>
    </row>
    <row r="64" spans="2:13" ht="76.5" customHeight="1">
      <c r="B64" s="24">
        <f>B63+1</f>
        <v>29</v>
      </c>
      <c r="C64" s="25"/>
      <c r="D64" s="26"/>
      <c r="F64" s="113"/>
      <c r="G64" s="114"/>
      <c r="H64" s="114"/>
      <c r="I64" s="114"/>
      <c r="J64" s="114"/>
      <c r="K64" s="114"/>
      <c r="L64" s="114"/>
      <c r="M64" s="115"/>
    </row>
    <row r="65" spans="2:12" ht="76.5" customHeight="1">
      <c r="B65" s="24">
        <f>B64+1</f>
        <v>30</v>
      </c>
      <c r="C65" s="25"/>
      <c r="D65" s="26"/>
    </row>
    <row r="66" spans="2:12" ht="76.5" customHeight="1">
      <c r="B66" s="24">
        <f>B65+1</f>
        <v>31</v>
      </c>
      <c r="C66" s="25"/>
      <c r="D66" s="26"/>
    </row>
    <row r="67" spans="2:12" ht="76.5" customHeight="1">
      <c r="B67" s="27">
        <f>B66+1</f>
        <v>32</v>
      </c>
      <c r="C67" s="28"/>
      <c r="D67" s="29"/>
    </row>
    <row r="68" spans="2:12" ht="19.5" customHeight="1">
      <c r="C68" s="15" t="s">
        <v>33</v>
      </c>
      <c r="D68" s="16">
        <f>SUM(D63:D67)</f>
        <v>0</v>
      </c>
    </row>
    <row r="69" spans="2:12" ht="19.5" customHeight="1">
      <c r="C69" s="15" t="s">
        <v>34</v>
      </c>
      <c r="D69" s="16">
        <f>COUNTA(D63:D67)</f>
        <v>0</v>
      </c>
      <c r="K69" s="17" t="s">
        <v>35</v>
      </c>
      <c r="L69" s="18">
        <f>D69+L55</f>
        <v>0</v>
      </c>
    </row>
    <row r="73" spans="2:12" ht="16.5">
      <c r="B73" s="98" t="s">
        <v>36</v>
      </c>
      <c r="C73" s="99"/>
      <c r="D73" s="100"/>
    </row>
    <row r="74" spans="2:12" ht="150" customHeight="1">
      <c r="B74" s="116"/>
      <c r="C74" s="117"/>
      <c r="D74" s="118"/>
    </row>
    <row r="77" spans="2:12" ht="16.5">
      <c r="B77" s="98" t="s">
        <v>37</v>
      </c>
      <c r="C77" s="99"/>
      <c r="D77" s="100"/>
    </row>
    <row r="78" spans="2:12" ht="150" customHeight="1">
      <c r="B78" s="95"/>
      <c r="C78" s="96"/>
      <c r="D78" s="97"/>
    </row>
  </sheetData>
  <sheetProtection algorithmName="SHA-512" hashValue="/UQCsrXmCN8c1Dk2VwTIn1w12dRDBx7iigEhUdkG8nzTq3fuG6fkGvGf8OAXbfbgbjIMh3z8U1VaOzAfIW98tw==" saltValue="18p3QAC/Z1pkI1VYFwJWlg==" spinCount="100000" sheet="1" objects="1" scenarios="1" selectLockedCells="1"/>
  <mergeCells count="30">
    <mergeCell ref="B78:D78"/>
    <mergeCell ref="E46:G46"/>
    <mergeCell ref="F48:M48"/>
    <mergeCell ref="F49:M50"/>
    <mergeCell ref="B57:D57"/>
    <mergeCell ref="E59:G59"/>
    <mergeCell ref="E60:G60"/>
    <mergeCell ref="F62:M62"/>
    <mergeCell ref="F63:M64"/>
    <mergeCell ref="B73:D73"/>
    <mergeCell ref="B74:D74"/>
    <mergeCell ref="B77:D77"/>
    <mergeCell ref="E45:G45"/>
    <mergeCell ref="B15:D15"/>
    <mergeCell ref="E17:G17"/>
    <mergeCell ref="E18:G18"/>
    <mergeCell ref="F20:M20"/>
    <mergeCell ref="F21:M22"/>
    <mergeCell ref="B29:D29"/>
    <mergeCell ref="E31:G31"/>
    <mergeCell ref="E32:G32"/>
    <mergeCell ref="F34:M34"/>
    <mergeCell ref="F35:M36"/>
    <mergeCell ref="B43:D43"/>
    <mergeCell ref="F9:M11"/>
    <mergeCell ref="B1:D1"/>
    <mergeCell ref="E3:G3"/>
    <mergeCell ref="E4:G4"/>
    <mergeCell ref="F6:M6"/>
    <mergeCell ref="F7:M8"/>
  </mergeCells>
  <conditionalFormatting sqref="E3:G3">
    <cfRule type="cellIs" dxfId="3" priority="2" operator="notEqual">
      <formula>2</formula>
    </cfRule>
  </conditionalFormatting>
  <conditionalFormatting sqref="E4:G4">
    <cfRule type="cellIs" dxfId="2" priority="1" operator="notEqual">
      <formula>6</formula>
    </cfRule>
  </conditionalFormatting>
  <pageMargins left="0.12" right="0.2" top="0.33" bottom="0.28000000000000003" header="0.17" footer="0.14000000000000001"/>
  <pageSetup paperSize="9" orientation="landscape" horizontalDpi="4294967293" verticalDpi="0"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N78"/>
  <sheetViews>
    <sheetView topLeftCell="A10" workbookViewId="0">
      <selection activeCell="C24" sqref="C24"/>
    </sheetView>
  </sheetViews>
  <sheetFormatPr defaultRowHeight="15"/>
  <cols>
    <col min="1" max="1" width="1.42578125" customWidth="1"/>
    <col min="2" max="2" width="14.28515625" style="1" customWidth="1"/>
    <col min="3" max="3" width="48.5703125" customWidth="1"/>
    <col min="4" max="4" width="12.140625" style="1" customWidth="1"/>
    <col min="5" max="5" width="2.7109375" customWidth="1"/>
    <col min="6" max="13" width="8" customWidth="1"/>
  </cols>
  <sheetData>
    <row r="1" spans="2:14" ht="18">
      <c r="B1" s="74" t="s">
        <v>24</v>
      </c>
      <c r="C1" s="74"/>
      <c r="D1" s="74"/>
    </row>
    <row r="3" spans="2:14" ht="18.75" customHeight="1">
      <c r="B3" s="10" t="s">
        <v>25</v>
      </c>
      <c r="C3" s="11" t="s">
        <v>26</v>
      </c>
      <c r="D3" s="30"/>
      <c r="E3" s="78">
        <f>WEEKDAY(D3)</f>
        <v>7</v>
      </c>
      <c r="F3" s="79"/>
      <c r="G3" s="79"/>
    </row>
    <row r="4" spans="2:14" ht="18.75" customHeight="1">
      <c r="B4" s="34">
        <f>(extra!D3-'Στοιχεία Πρακτικής'!C21)/7 + 1</f>
        <v>-6543.2857142857147</v>
      </c>
      <c r="C4" s="11" t="s">
        <v>27</v>
      </c>
      <c r="D4" s="31">
        <f>D3+4</f>
        <v>4</v>
      </c>
      <c r="E4" s="78">
        <f>WEEKDAY(D4)</f>
        <v>4</v>
      </c>
      <c r="F4" s="79"/>
      <c r="G4" s="79"/>
    </row>
    <row r="6" spans="2:14" ht="31.5" customHeight="1">
      <c r="B6" s="13" t="s">
        <v>28</v>
      </c>
      <c r="C6" s="14" t="s">
        <v>29</v>
      </c>
      <c r="D6" s="13" t="s">
        <v>30</v>
      </c>
      <c r="F6" s="77" t="s">
        <v>31</v>
      </c>
      <c r="G6" s="77"/>
      <c r="H6" s="77"/>
      <c r="I6" s="77"/>
      <c r="J6" s="77"/>
      <c r="K6" s="77"/>
      <c r="L6" s="77"/>
      <c r="M6" s="77"/>
    </row>
    <row r="7" spans="2:14" ht="76.5" customHeight="1">
      <c r="B7" s="24">
        <f>D3</f>
        <v>0</v>
      </c>
      <c r="C7" s="22"/>
      <c r="D7" s="26"/>
      <c r="F7" s="89"/>
      <c r="G7" s="90"/>
      <c r="H7" s="90"/>
      <c r="I7" s="90"/>
      <c r="J7" s="90"/>
      <c r="K7" s="90"/>
      <c r="L7" s="90"/>
      <c r="M7" s="91"/>
    </row>
    <row r="8" spans="2:14" ht="76.5" customHeight="1">
      <c r="B8" s="24">
        <f>B7+1</f>
        <v>1</v>
      </c>
      <c r="C8" s="22"/>
      <c r="D8" s="26"/>
      <c r="F8" s="92"/>
      <c r="G8" s="93"/>
      <c r="H8" s="93"/>
      <c r="I8" s="93"/>
      <c r="J8" s="93"/>
      <c r="K8" s="93"/>
      <c r="L8" s="93"/>
      <c r="M8" s="94"/>
    </row>
    <row r="9" spans="2:14" ht="76.5" customHeight="1">
      <c r="B9" s="24">
        <f>B8+1</f>
        <v>2</v>
      </c>
      <c r="C9" s="22"/>
      <c r="D9" s="26"/>
      <c r="F9" s="101" t="str">
        <f>'1ος'!F9:M11</f>
        <v>- Ο ασκούμενος γράφει ΜΟΝΟ σε πράσινα κελιά.
- Οι εβδομάδες ξεκινούν πάντα Δευτέρα και λήγουν Παρασκευή.
   Αυτό προκύπτει αυτόματα εφόσον το κελί D3 (όταν είναι πράσινο)
   συμπληρωθεί σωστά.
- Κάθε μήνας έχει χώρο 5 εβδομάδων. Χρησιμοποιήστε ΜΟΝΟ όσες
   χρειάζονται για να ολοκληρωθεί ο μήνας. Μετά αλλάξτε φύλλο.
- Σε φύλλο δεδομένου μήνα, χρησιμοποήστε ΜΟΝΟ τις μέρες αυτού
   του μήνα. Τυχόν μέρες άλλων μηνών (στην αρχή ή στο τέλος του
   φύλλου) θα πρέπει να αφήνονται κενές.
- Εβδομάδα που μοιράζεται σε 2 μήνες, θα πρέπει να έχει ίδιο
   αύξοντα αριθμό. Αν δεν έχει, τότε συμπληρώσατε λάθος το D3.
- Σε ημέρες που δεν εργαστήκατε να αναγράφετε τον λόγο (π.χ. Αργία 
   Εθνική Εορτή, κτλ). και να αφήνετε ΚΕΝΟ το κελί ωρών εργασίας.</v>
      </c>
      <c r="G9" s="102"/>
      <c r="H9" s="102"/>
      <c r="I9" s="102"/>
      <c r="J9" s="102"/>
      <c r="K9" s="102"/>
      <c r="L9" s="102"/>
      <c r="M9" s="103"/>
    </row>
    <row r="10" spans="2:14" ht="76.5" customHeight="1">
      <c r="B10" s="24">
        <f>B9+1</f>
        <v>3</v>
      </c>
      <c r="C10" s="22"/>
      <c r="D10" s="26"/>
      <c r="F10" s="104"/>
      <c r="G10" s="105"/>
      <c r="H10" s="105"/>
      <c r="I10" s="105"/>
      <c r="J10" s="105"/>
      <c r="K10" s="105"/>
      <c r="L10" s="105"/>
      <c r="M10" s="106"/>
    </row>
    <row r="11" spans="2:14" ht="76.5" customHeight="1">
      <c r="B11" s="27">
        <f>B10+1</f>
        <v>4</v>
      </c>
      <c r="C11" s="23"/>
      <c r="D11" s="29"/>
      <c r="F11" s="107"/>
      <c r="G11" s="108"/>
      <c r="H11" s="108"/>
      <c r="I11" s="108"/>
      <c r="J11" s="108"/>
      <c r="K11" s="108"/>
      <c r="L11" s="108"/>
      <c r="M11" s="109"/>
    </row>
    <row r="12" spans="2:14" ht="19.5" customHeight="1">
      <c r="C12" s="15" t="s">
        <v>33</v>
      </c>
      <c r="D12" s="16">
        <f>SUM(D7:D11)</f>
        <v>0</v>
      </c>
    </row>
    <row r="13" spans="2:14" ht="19.5" customHeight="1">
      <c r="C13" s="15" t="s">
        <v>34</v>
      </c>
      <c r="D13" s="16">
        <f>COUNTA(D7:D11)</f>
        <v>0</v>
      </c>
      <c r="K13" s="17" t="s">
        <v>35</v>
      </c>
      <c r="L13" s="18">
        <f>D13+'6ος'!L69</f>
        <v>0</v>
      </c>
    </row>
    <row r="14" spans="2:14">
      <c r="N14" s="1"/>
    </row>
    <row r="15" spans="2:14" ht="18">
      <c r="B15" s="74" t="s">
        <v>24</v>
      </c>
      <c r="C15" s="74"/>
      <c r="D15" s="74"/>
    </row>
    <row r="17" spans="2:13" ht="18.75" customHeight="1">
      <c r="B17" s="10" t="s">
        <v>25</v>
      </c>
      <c r="C17" s="11" t="s">
        <v>26</v>
      </c>
      <c r="D17" s="32">
        <f>D3+7</f>
        <v>7</v>
      </c>
      <c r="E17" s="75">
        <f>D17</f>
        <v>7</v>
      </c>
      <c r="F17" s="76"/>
      <c r="G17" s="76"/>
    </row>
    <row r="18" spans="2:13" ht="18.75" customHeight="1">
      <c r="B18" s="12">
        <f>B4+1</f>
        <v>-6542.2857142857147</v>
      </c>
      <c r="C18" s="11" t="s">
        <v>27</v>
      </c>
      <c r="D18" s="31">
        <f>D17+4</f>
        <v>11</v>
      </c>
      <c r="E18" s="75">
        <f>D18</f>
        <v>11</v>
      </c>
      <c r="F18" s="76"/>
      <c r="G18" s="76"/>
    </row>
    <row r="20" spans="2:13" ht="31.5" customHeight="1">
      <c r="B20" s="13" t="s">
        <v>28</v>
      </c>
      <c r="C20" s="14" t="s">
        <v>29</v>
      </c>
      <c r="D20" s="13" t="s">
        <v>30</v>
      </c>
      <c r="F20" s="77" t="s">
        <v>31</v>
      </c>
      <c r="G20" s="77"/>
      <c r="H20" s="77"/>
      <c r="I20" s="77"/>
      <c r="J20" s="77"/>
      <c r="K20" s="77"/>
      <c r="L20" s="77"/>
      <c r="M20" s="77"/>
    </row>
    <row r="21" spans="2:13" ht="76.5" customHeight="1">
      <c r="B21" s="24">
        <f>D17</f>
        <v>7</v>
      </c>
      <c r="C21" s="22"/>
      <c r="D21" s="26"/>
      <c r="F21" s="110"/>
      <c r="G21" s="111"/>
      <c r="H21" s="111"/>
      <c r="I21" s="111"/>
      <c r="J21" s="111"/>
      <c r="K21" s="111"/>
      <c r="L21" s="111"/>
      <c r="M21" s="112"/>
    </row>
    <row r="22" spans="2:13" ht="76.5" customHeight="1">
      <c r="B22" s="24">
        <f>B21+1</f>
        <v>8</v>
      </c>
      <c r="C22" s="22"/>
      <c r="D22" s="26"/>
      <c r="F22" s="113"/>
      <c r="G22" s="114"/>
      <c r="H22" s="114"/>
      <c r="I22" s="114"/>
      <c r="J22" s="114"/>
      <c r="K22" s="114"/>
      <c r="L22" s="114"/>
      <c r="M22" s="115"/>
    </row>
    <row r="23" spans="2:13" ht="76.5" customHeight="1">
      <c r="B23" s="24">
        <f>B22+1</f>
        <v>9</v>
      </c>
      <c r="C23" s="22"/>
      <c r="D23" s="26"/>
    </row>
    <row r="24" spans="2:13" ht="76.5" customHeight="1">
      <c r="B24" s="24">
        <f>B23+1</f>
        <v>10</v>
      </c>
      <c r="C24" s="22"/>
      <c r="D24" s="26"/>
    </row>
    <row r="25" spans="2:13" ht="76.5" customHeight="1">
      <c r="B25" s="27">
        <f>B24+1</f>
        <v>11</v>
      </c>
      <c r="C25" s="23"/>
      <c r="D25" s="29"/>
    </row>
    <row r="26" spans="2:13" ht="19.5" customHeight="1">
      <c r="C26" s="15" t="s">
        <v>33</v>
      </c>
      <c r="D26" s="16">
        <f>SUM(D21:D25)</f>
        <v>0</v>
      </c>
    </row>
    <row r="27" spans="2:13" ht="19.5" customHeight="1">
      <c r="C27" s="15" t="s">
        <v>34</v>
      </c>
      <c r="D27" s="16">
        <f>COUNTA(D21:D25)</f>
        <v>0</v>
      </c>
      <c r="K27" s="17" t="s">
        <v>35</v>
      </c>
      <c r="L27" s="18">
        <f>D27+L13</f>
        <v>0</v>
      </c>
    </row>
    <row r="29" spans="2:13" ht="18">
      <c r="B29" s="74" t="s">
        <v>24</v>
      </c>
      <c r="C29" s="74"/>
      <c r="D29" s="74"/>
    </row>
    <row r="31" spans="2:13" ht="18.75" customHeight="1">
      <c r="B31" s="10" t="s">
        <v>25</v>
      </c>
      <c r="C31" s="11" t="s">
        <v>26</v>
      </c>
      <c r="D31" s="32">
        <f>D17+7</f>
        <v>14</v>
      </c>
      <c r="E31" s="75">
        <f>D31</f>
        <v>14</v>
      </c>
      <c r="F31" s="76"/>
      <c r="G31" s="76"/>
    </row>
    <row r="32" spans="2:13" ht="18.75" customHeight="1">
      <c r="B32" s="12">
        <f>B18+1</f>
        <v>-6541.2857142857147</v>
      </c>
      <c r="C32" s="11" t="s">
        <v>27</v>
      </c>
      <c r="D32" s="31">
        <f>D31+4</f>
        <v>18</v>
      </c>
      <c r="E32" s="75">
        <f>D32</f>
        <v>18</v>
      </c>
      <c r="F32" s="76"/>
      <c r="G32" s="76"/>
    </row>
    <row r="34" spans="2:13" ht="31.5" customHeight="1">
      <c r="B34" s="13" t="s">
        <v>28</v>
      </c>
      <c r="C34" s="14" t="s">
        <v>29</v>
      </c>
      <c r="D34" s="13" t="s">
        <v>30</v>
      </c>
      <c r="F34" s="77" t="s">
        <v>31</v>
      </c>
      <c r="G34" s="77"/>
      <c r="H34" s="77"/>
      <c r="I34" s="77"/>
      <c r="J34" s="77"/>
      <c r="K34" s="77"/>
      <c r="L34" s="77"/>
      <c r="M34" s="77"/>
    </row>
    <row r="35" spans="2:13" ht="76.5" customHeight="1">
      <c r="B35" s="24">
        <f>D31</f>
        <v>14</v>
      </c>
      <c r="C35" s="25"/>
      <c r="D35" s="26"/>
      <c r="F35" s="110"/>
      <c r="G35" s="111"/>
      <c r="H35" s="111"/>
      <c r="I35" s="111"/>
      <c r="J35" s="111"/>
      <c r="K35" s="111"/>
      <c r="L35" s="111"/>
      <c r="M35" s="112"/>
    </row>
    <row r="36" spans="2:13" ht="76.5" customHeight="1">
      <c r="B36" s="24">
        <f>B35+1</f>
        <v>15</v>
      </c>
      <c r="C36" s="25"/>
      <c r="D36" s="26"/>
      <c r="F36" s="113"/>
      <c r="G36" s="114"/>
      <c r="H36" s="114"/>
      <c r="I36" s="114"/>
      <c r="J36" s="114"/>
      <c r="K36" s="114"/>
      <c r="L36" s="114"/>
      <c r="M36" s="115"/>
    </row>
    <row r="37" spans="2:13" ht="76.5" customHeight="1">
      <c r="B37" s="24">
        <f>B36+1</f>
        <v>16</v>
      </c>
      <c r="C37" s="25"/>
      <c r="D37" s="26"/>
    </row>
    <row r="38" spans="2:13" ht="76.5" customHeight="1">
      <c r="B38" s="24">
        <f>B37+1</f>
        <v>17</v>
      </c>
      <c r="C38" s="25"/>
      <c r="D38" s="26"/>
    </row>
    <row r="39" spans="2:13" ht="76.5" customHeight="1">
      <c r="B39" s="27">
        <f>B38+1</f>
        <v>18</v>
      </c>
      <c r="C39" s="28"/>
      <c r="D39" s="29"/>
    </row>
    <row r="40" spans="2:13" ht="19.5" customHeight="1">
      <c r="C40" s="15" t="s">
        <v>33</v>
      </c>
      <c r="D40" s="16">
        <f>SUM(D35:D39)</f>
        <v>0</v>
      </c>
    </row>
    <row r="41" spans="2:13" ht="19.5" customHeight="1">
      <c r="C41" s="15" t="s">
        <v>34</v>
      </c>
      <c r="D41" s="16">
        <f>COUNTA(D35:D39)</f>
        <v>0</v>
      </c>
      <c r="K41" s="17" t="s">
        <v>35</v>
      </c>
      <c r="L41" s="18">
        <f>D41+L27</f>
        <v>0</v>
      </c>
    </row>
    <row r="43" spans="2:13" ht="18">
      <c r="B43" s="74" t="s">
        <v>24</v>
      </c>
      <c r="C43" s="74"/>
      <c r="D43" s="74"/>
    </row>
    <row r="45" spans="2:13" ht="18.75" customHeight="1">
      <c r="B45" s="10" t="s">
        <v>25</v>
      </c>
      <c r="C45" s="11" t="s">
        <v>26</v>
      </c>
      <c r="D45" s="32">
        <f>D31+7</f>
        <v>21</v>
      </c>
      <c r="E45" s="75">
        <f>D45</f>
        <v>21</v>
      </c>
      <c r="F45" s="76"/>
      <c r="G45" s="76"/>
    </row>
    <row r="46" spans="2:13" ht="18.75" customHeight="1">
      <c r="B46" s="12">
        <f>B32+1</f>
        <v>-6540.2857142857147</v>
      </c>
      <c r="C46" s="11" t="s">
        <v>27</v>
      </c>
      <c r="D46" s="31">
        <f>D45+4</f>
        <v>25</v>
      </c>
      <c r="E46" s="75">
        <f>D46</f>
        <v>25</v>
      </c>
      <c r="F46" s="76"/>
      <c r="G46" s="76"/>
    </row>
    <row r="48" spans="2:13" ht="31.5" customHeight="1">
      <c r="B48" s="13" t="s">
        <v>28</v>
      </c>
      <c r="C48" s="14" t="s">
        <v>29</v>
      </c>
      <c r="D48" s="13" t="s">
        <v>30</v>
      </c>
      <c r="F48" s="77" t="s">
        <v>31</v>
      </c>
      <c r="G48" s="77"/>
      <c r="H48" s="77"/>
      <c r="I48" s="77"/>
      <c r="J48" s="77"/>
      <c r="K48" s="77"/>
      <c r="L48" s="77"/>
      <c r="M48" s="77"/>
    </row>
    <row r="49" spans="2:13" ht="76.5" customHeight="1">
      <c r="B49" s="24">
        <f>D45</f>
        <v>21</v>
      </c>
      <c r="C49" s="25"/>
      <c r="D49" s="26"/>
      <c r="F49" s="110"/>
      <c r="G49" s="111"/>
      <c r="H49" s="111"/>
      <c r="I49" s="111"/>
      <c r="J49" s="111"/>
      <c r="K49" s="111"/>
      <c r="L49" s="111"/>
      <c r="M49" s="112"/>
    </row>
    <row r="50" spans="2:13" ht="76.5" customHeight="1">
      <c r="B50" s="24">
        <f>B49+1</f>
        <v>22</v>
      </c>
      <c r="C50" s="25"/>
      <c r="D50" s="26"/>
      <c r="F50" s="113"/>
      <c r="G50" s="114"/>
      <c r="H50" s="114"/>
      <c r="I50" s="114"/>
      <c r="J50" s="114"/>
      <c r="K50" s="114"/>
      <c r="L50" s="114"/>
      <c r="M50" s="115"/>
    </row>
    <row r="51" spans="2:13" ht="76.5" customHeight="1">
      <c r="B51" s="24">
        <f>B50+1</f>
        <v>23</v>
      </c>
      <c r="C51" s="25"/>
      <c r="D51" s="26"/>
    </row>
    <row r="52" spans="2:13" ht="76.5" customHeight="1">
      <c r="B52" s="24">
        <f>B51+1</f>
        <v>24</v>
      </c>
      <c r="C52" s="25"/>
      <c r="D52" s="26"/>
    </row>
    <row r="53" spans="2:13" ht="76.5" customHeight="1">
      <c r="B53" s="27">
        <f>B52+1</f>
        <v>25</v>
      </c>
      <c r="C53" s="28"/>
      <c r="D53" s="29"/>
    </row>
    <row r="54" spans="2:13" ht="19.5" customHeight="1">
      <c r="C54" s="15" t="s">
        <v>33</v>
      </c>
      <c r="D54" s="16">
        <f>SUM(D49:D53)</f>
        <v>0</v>
      </c>
    </row>
    <row r="55" spans="2:13" ht="19.5" customHeight="1">
      <c r="C55" s="15" t="s">
        <v>34</v>
      </c>
      <c r="D55" s="16">
        <f>COUNTA(D49:D53)</f>
        <v>0</v>
      </c>
      <c r="K55" s="17" t="s">
        <v>35</v>
      </c>
      <c r="L55" s="18">
        <f>D55+L41</f>
        <v>0</v>
      </c>
    </row>
    <row r="57" spans="2:13" ht="18">
      <c r="B57" s="74" t="s">
        <v>24</v>
      </c>
      <c r="C57" s="74"/>
      <c r="D57" s="74"/>
    </row>
    <row r="59" spans="2:13" ht="18.75" customHeight="1">
      <c r="B59" s="10" t="s">
        <v>25</v>
      </c>
      <c r="C59" s="11" t="s">
        <v>26</v>
      </c>
      <c r="D59" s="32">
        <f>D45+7</f>
        <v>28</v>
      </c>
      <c r="E59" s="75">
        <f>D59</f>
        <v>28</v>
      </c>
      <c r="F59" s="76"/>
      <c r="G59" s="76"/>
    </row>
    <row r="60" spans="2:13" ht="18.75" customHeight="1">
      <c r="B60" s="12">
        <f>B46+1</f>
        <v>-6539.2857142857147</v>
      </c>
      <c r="C60" s="11" t="s">
        <v>27</v>
      </c>
      <c r="D60" s="31">
        <f>D59+4</f>
        <v>32</v>
      </c>
      <c r="E60" s="75">
        <f>D60</f>
        <v>32</v>
      </c>
      <c r="F60" s="76"/>
      <c r="G60" s="76"/>
    </row>
    <row r="62" spans="2:13" ht="31.5" customHeight="1">
      <c r="B62" s="13" t="s">
        <v>28</v>
      </c>
      <c r="C62" s="14" t="s">
        <v>29</v>
      </c>
      <c r="D62" s="13" t="s">
        <v>30</v>
      </c>
      <c r="F62" s="77" t="s">
        <v>31</v>
      </c>
      <c r="G62" s="77"/>
      <c r="H62" s="77"/>
      <c r="I62" s="77"/>
      <c r="J62" s="77"/>
      <c r="K62" s="77"/>
      <c r="L62" s="77"/>
      <c r="M62" s="77"/>
    </row>
    <row r="63" spans="2:13" ht="76.5" customHeight="1">
      <c r="B63" s="24">
        <f>D59</f>
        <v>28</v>
      </c>
      <c r="C63" s="25"/>
      <c r="D63" s="26"/>
      <c r="F63" s="110"/>
      <c r="G63" s="111"/>
      <c r="H63" s="111"/>
      <c r="I63" s="111"/>
      <c r="J63" s="111"/>
      <c r="K63" s="111"/>
      <c r="L63" s="111"/>
      <c r="M63" s="112"/>
    </row>
    <row r="64" spans="2:13" ht="76.5" customHeight="1">
      <c r="B64" s="24">
        <f>B63+1</f>
        <v>29</v>
      </c>
      <c r="C64" s="25"/>
      <c r="D64" s="26"/>
      <c r="F64" s="113"/>
      <c r="G64" s="114"/>
      <c r="H64" s="114"/>
      <c r="I64" s="114"/>
      <c r="J64" s="114"/>
      <c r="K64" s="114"/>
      <c r="L64" s="114"/>
      <c r="M64" s="115"/>
    </row>
    <row r="65" spans="2:12" ht="76.5" customHeight="1">
      <c r="B65" s="24">
        <f>B64+1</f>
        <v>30</v>
      </c>
      <c r="C65" s="25"/>
      <c r="D65" s="26"/>
    </row>
    <row r="66" spans="2:12" ht="76.5" customHeight="1">
      <c r="B66" s="24">
        <f>B65+1</f>
        <v>31</v>
      </c>
      <c r="C66" s="25"/>
      <c r="D66" s="26"/>
    </row>
    <row r="67" spans="2:12" ht="76.5" customHeight="1">
      <c r="B67" s="27">
        <f>B66+1</f>
        <v>32</v>
      </c>
      <c r="C67" s="28"/>
      <c r="D67" s="29"/>
    </row>
    <row r="68" spans="2:12" ht="19.5" customHeight="1">
      <c r="C68" s="15" t="s">
        <v>33</v>
      </c>
      <c r="D68" s="16">
        <f>SUM(D63:D67)</f>
        <v>0</v>
      </c>
    </row>
    <row r="69" spans="2:12" ht="19.5" customHeight="1">
      <c r="C69" s="15" t="s">
        <v>34</v>
      </c>
      <c r="D69" s="16">
        <f>COUNTA(D63:D67)</f>
        <v>0</v>
      </c>
      <c r="K69" s="17" t="s">
        <v>35</v>
      </c>
      <c r="L69" s="18">
        <f>D69+L55</f>
        <v>0</v>
      </c>
    </row>
    <row r="73" spans="2:12" ht="16.5">
      <c r="B73" s="98" t="s">
        <v>36</v>
      </c>
      <c r="C73" s="99"/>
      <c r="D73" s="100"/>
    </row>
    <row r="74" spans="2:12" ht="150" customHeight="1">
      <c r="B74" s="116"/>
      <c r="C74" s="117"/>
      <c r="D74" s="118"/>
    </row>
    <row r="77" spans="2:12" ht="16.5">
      <c r="B77" s="98" t="s">
        <v>37</v>
      </c>
      <c r="C77" s="99"/>
      <c r="D77" s="100"/>
    </row>
    <row r="78" spans="2:12" ht="150" customHeight="1">
      <c r="B78" s="95"/>
      <c r="C78" s="96"/>
      <c r="D78" s="97"/>
    </row>
  </sheetData>
  <sheetProtection algorithmName="SHA-512" hashValue="rARtHRL9qNq4Q7G2ORJzlKwgb/7Hc6sRXwmo245ZO4qf3AB7URwQSRUqndi/xyQc77hI1iWItazmJZbyceSX0A==" saltValue="stByBIGr6WtNJN9BPxfLVQ==" spinCount="100000" sheet="1" objects="1" scenarios="1" selectLockedCells="1"/>
  <mergeCells count="30">
    <mergeCell ref="B78:D78"/>
    <mergeCell ref="E46:G46"/>
    <mergeCell ref="F48:M48"/>
    <mergeCell ref="F49:M50"/>
    <mergeCell ref="B57:D57"/>
    <mergeCell ref="E59:G59"/>
    <mergeCell ref="E60:G60"/>
    <mergeCell ref="F62:M62"/>
    <mergeCell ref="F63:M64"/>
    <mergeCell ref="B73:D73"/>
    <mergeCell ref="B74:D74"/>
    <mergeCell ref="B77:D77"/>
    <mergeCell ref="E45:G45"/>
    <mergeCell ref="B15:D15"/>
    <mergeCell ref="E17:G17"/>
    <mergeCell ref="E18:G18"/>
    <mergeCell ref="F20:M20"/>
    <mergeCell ref="F21:M22"/>
    <mergeCell ref="B29:D29"/>
    <mergeCell ref="E31:G31"/>
    <mergeCell ref="E32:G32"/>
    <mergeCell ref="F34:M34"/>
    <mergeCell ref="F35:M36"/>
    <mergeCell ref="B43:D43"/>
    <mergeCell ref="F9:M11"/>
    <mergeCell ref="B1:D1"/>
    <mergeCell ref="E3:G3"/>
    <mergeCell ref="E4:G4"/>
    <mergeCell ref="F6:M6"/>
    <mergeCell ref="F7:M8"/>
  </mergeCells>
  <conditionalFormatting sqref="E3:G3">
    <cfRule type="cellIs" dxfId="1" priority="2" operator="notEqual">
      <formula>2</formula>
    </cfRule>
  </conditionalFormatting>
  <conditionalFormatting sqref="E4:G4">
    <cfRule type="cellIs" dxfId="0" priority="1" operator="notEqual">
      <formula>6</formula>
    </cfRule>
  </conditionalFormatting>
  <pageMargins left="0.12" right="0.2" top="0.33" bottom="0.28000000000000003" header="0.17" footer="0.14000000000000001"/>
  <pageSetup paperSize="9" orientation="landscape" horizontalDpi="4294967293" verticalDpi="0"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B1:H45"/>
  <sheetViews>
    <sheetView workbookViewId="0">
      <selection activeCell="B26" sqref="B26"/>
    </sheetView>
  </sheetViews>
  <sheetFormatPr defaultRowHeight="15"/>
  <cols>
    <col min="1" max="1" width="3.5703125" customWidth="1"/>
    <col min="2" max="4" width="14.28515625" customWidth="1"/>
    <col min="5" max="5" width="1.28515625" customWidth="1"/>
    <col min="6" max="8" width="14.28515625" customWidth="1"/>
  </cols>
  <sheetData>
    <row r="1" spans="2:8" ht="18.75">
      <c r="B1" s="135">
        <f>'Στοιχεία Πρακτικής'!C5</f>
        <v>0</v>
      </c>
      <c r="C1" s="135"/>
      <c r="D1" s="135"/>
      <c r="F1" s="136">
        <f>'Στοιχεία Πρακτικής'!C6</f>
        <v>0</v>
      </c>
      <c r="G1" s="136"/>
      <c r="H1" s="136"/>
    </row>
    <row r="2" spans="2:8" ht="31.5" customHeight="1">
      <c r="B2" s="138" t="s">
        <v>38</v>
      </c>
      <c r="C2" s="138"/>
      <c r="D2" s="138"/>
      <c r="E2" s="138"/>
      <c r="F2" s="138"/>
      <c r="G2" s="138"/>
      <c r="H2" s="138"/>
    </row>
    <row r="3" spans="2:8">
      <c r="B3" s="137" t="s">
        <v>39</v>
      </c>
      <c r="C3" s="137"/>
      <c r="D3" s="137"/>
      <c r="E3" s="137"/>
      <c r="F3" s="137"/>
      <c r="G3" s="137"/>
      <c r="H3" s="137"/>
    </row>
    <row r="4" spans="2:8" ht="36" customHeight="1">
      <c r="B4" s="128" t="s">
        <v>40</v>
      </c>
      <c r="C4" s="129"/>
      <c r="D4" s="129"/>
      <c r="E4" s="129"/>
      <c r="F4" s="129"/>
      <c r="G4" s="129"/>
      <c r="H4" s="130"/>
    </row>
    <row r="5" spans="2:8">
      <c r="B5" s="110"/>
      <c r="C5" s="111"/>
      <c r="D5" s="111"/>
      <c r="E5" s="111"/>
      <c r="F5" s="111"/>
      <c r="G5" s="111"/>
      <c r="H5" s="112"/>
    </row>
    <row r="6" spans="2:8">
      <c r="B6" s="139"/>
      <c r="C6" s="140"/>
      <c r="D6" s="140"/>
      <c r="E6" s="140"/>
      <c r="F6" s="140"/>
      <c r="G6" s="140"/>
      <c r="H6" s="141"/>
    </row>
    <row r="7" spans="2:8">
      <c r="B7" s="139"/>
      <c r="C7" s="140"/>
      <c r="D7" s="140"/>
      <c r="E7" s="140"/>
      <c r="F7" s="140"/>
      <c r="G7" s="140"/>
      <c r="H7" s="141"/>
    </row>
    <row r="8" spans="2:8">
      <c r="B8" s="139"/>
      <c r="C8" s="140"/>
      <c r="D8" s="140"/>
      <c r="E8" s="140"/>
      <c r="F8" s="140"/>
      <c r="G8" s="140"/>
      <c r="H8" s="141"/>
    </row>
    <row r="9" spans="2:8">
      <c r="B9" s="139"/>
      <c r="C9" s="140"/>
      <c r="D9" s="140"/>
      <c r="E9" s="140"/>
      <c r="F9" s="140"/>
      <c r="G9" s="140"/>
      <c r="H9" s="141"/>
    </row>
    <row r="10" spans="2:8">
      <c r="B10" s="139"/>
      <c r="C10" s="140"/>
      <c r="D10" s="140"/>
      <c r="E10" s="140"/>
      <c r="F10" s="140"/>
      <c r="G10" s="140"/>
      <c r="H10" s="141"/>
    </row>
    <row r="11" spans="2:8">
      <c r="B11" s="139"/>
      <c r="C11" s="140"/>
      <c r="D11" s="140"/>
      <c r="E11" s="140"/>
      <c r="F11" s="140"/>
      <c r="G11" s="140"/>
      <c r="H11" s="141"/>
    </row>
    <row r="12" spans="2:8">
      <c r="B12" s="139"/>
      <c r="C12" s="140"/>
      <c r="D12" s="140"/>
      <c r="E12" s="140"/>
      <c r="F12" s="140"/>
      <c r="G12" s="140"/>
      <c r="H12" s="141"/>
    </row>
    <row r="13" spans="2:8">
      <c r="B13" s="139"/>
      <c r="C13" s="140"/>
      <c r="D13" s="140"/>
      <c r="E13" s="140"/>
      <c r="F13" s="140"/>
      <c r="G13" s="140"/>
      <c r="H13" s="141"/>
    </row>
    <row r="14" spans="2:8">
      <c r="B14" s="139"/>
      <c r="C14" s="140"/>
      <c r="D14" s="140"/>
      <c r="E14" s="140"/>
      <c r="F14" s="140"/>
      <c r="G14" s="140"/>
      <c r="H14" s="141"/>
    </row>
    <row r="15" spans="2:8">
      <c r="B15" s="139"/>
      <c r="C15" s="140"/>
      <c r="D15" s="140"/>
      <c r="E15" s="140"/>
      <c r="F15" s="140"/>
      <c r="G15" s="140"/>
      <c r="H15" s="141"/>
    </row>
    <row r="16" spans="2:8">
      <c r="B16" s="139"/>
      <c r="C16" s="140"/>
      <c r="D16" s="140"/>
      <c r="E16" s="140"/>
      <c r="F16" s="140"/>
      <c r="G16" s="140"/>
      <c r="H16" s="141"/>
    </row>
    <row r="17" spans="2:8">
      <c r="B17" s="139"/>
      <c r="C17" s="140"/>
      <c r="D17" s="140"/>
      <c r="E17" s="140"/>
      <c r="F17" s="140"/>
      <c r="G17" s="140"/>
      <c r="H17" s="141"/>
    </row>
    <row r="18" spans="2:8">
      <c r="B18" s="139"/>
      <c r="C18" s="140"/>
      <c r="D18" s="140"/>
      <c r="E18" s="140"/>
      <c r="F18" s="140"/>
      <c r="G18" s="140"/>
      <c r="H18" s="141"/>
    </row>
    <row r="19" spans="2:8">
      <c r="B19" s="139"/>
      <c r="C19" s="140"/>
      <c r="D19" s="140"/>
      <c r="E19" s="140"/>
      <c r="F19" s="140"/>
      <c r="G19" s="140"/>
      <c r="H19" s="141"/>
    </row>
    <row r="20" spans="2:8">
      <c r="B20" s="139"/>
      <c r="C20" s="140"/>
      <c r="D20" s="140"/>
      <c r="E20" s="140"/>
      <c r="F20" s="140"/>
      <c r="G20" s="140"/>
      <c r="H20" s="141"/>
    </row>
    <row r="21" spans="2:8">
      <c r="B21" s="139"/>
      <c r="C21" s="140"/>
      <c r="D21" s="140"/>
      <c r="E21" s="140"/>
      <c r="F21" s="140"/>
      <c r="G21" s="140"/>
      <c r="H21" s="141"/>
    </row>
    <row r="22" spans="2:8">
      <c r="B22" s="139"/>
      <c r="C22" s="140"/>
      <c r="D22" s="140"/>
      <c r="E22" s="140"/>
      <c r="F22" s="140"/>
      <c r="G22" s="140"/>
      <c r="H22" s="141"/>
    </row>
    <row r="23" spans="2:8">
      <c r="B23" s="139"/>
      <c r="C23" s="140"/>
      <c r="D23" s="140"/>
      <c r="E23" s="140"/>
      <c r="F23" s="140"/>
      <c r="G23" s="140"/>
      <c r="H23" s="141"/>
    </row>
    <row r="24" spans="2:8">
      <c r="B24" s="113"/>
      <c r="C24" s="114"/>
      <c r="D24" s="114"/>
      <c r="E24" s="114"/>
      <c r="F24" s="114"/>
      <c r="G24" s="114"/>
      <c r="H24" s="115"/>
    </row>
    <row r="25" spans="2:8">
      <c r="B25" s="134" t="s">
        <v>41</v>
      </c>
      <c r="C25" s="134"/>
      <c r="D25" s="134"/>
      <c r="E25" s="134"/>
      <c r="F25" s="134"/>
      <c r="G25" s="134"/>
      <c r="H25" s="134"/>
    </row>
    <row r="26" spans="2:8" ht="28.5" customHeight="1"/>
    <row r="27" spans="2:8">
      <c r="G27" s="52" t="s">
        <v>42</v>
      </c>
    </row>
    <row r="28" spans="2:8">
      <c r="G28" s="1" t="s">
        <v>43</v>
      </c>
    </row>
    <row r="29" spans="2:8" ht="17.25" customHeight="1"/>
    <row r="30" spans="2:8" ht="15" customHeight="1"/>
    <row r="31" spans="2:8" ht="53.25" customHeight="1">
      <c r="B31" s="131" t="s">
        <v>44</v>
      </c>
      <c r="C31" s="132"/>
      <c r="D31" s="132"/>
      <c r="E31" s="132"/>
      <c r="F31" s="132"/>
      <c r="G31" s="132"/>
      <c r="H31" s="133"/>
    </row>
    <row r="32" spans="2:8">
      <c r="B32" s="119"/>
      <c r="C32" s="120"/>
      <c r="D32" s="120"/>
      <c r="E32" s="120"/>
      <c r="F32" s="120"/>
      <c r="G32" s="120"/>
      <c r="H32" s="121"/>
    </row>
    <row r="33" spans="2:8">
      <c r="B33" s="122"/>
      <c r="C33" s="123"/>
      <c r="D33" s="123"/>
      <c r="E33" s="123"/>
      <c r="F33" s="123"/>
      <c r="G33" s="123"/>
      <c r="H33" s="124"/>
    </row>
    <row r="34" spans="2:8">
      <c r="B34" s="122"/>
      <c r="C34" s="123"/>
      <c r="D34" s="123"/>
      <c r="E34" s="123"/>
      <c r="F34" s="123"/>
      <c r="G34" s="123"/>
      <c r="H34" s="124"/>
    </row>
    <row r="35" spans="2:8">
      <c r="B35" s="122"/>
      <c r="C35" s="123"/>
      <c r="D35" s="123"/>
      <c r="E35" s="123"/>
      <c r="F35" s="123"/>
      <c r="G35" s="123"/>
      <c r="H35" s="124"/>
    </row>
    <row r="36" spans="2:8">
      <c r="B36" s="122"/>
      <c r="C36" s="123"/>
      <c r="D36" s="123"/>
      <c r="E36" s="123"/>
      <c r="F36" s="123"/>
      <c r="G36" s="123"/>
      <c r="H36" s="124"/>
    </row>
    <row r="37" spans="2:8">
      <c r="B37" s="122"/>
      <c r="C37" s="123"/>
      <c r="D37" s="123"/>
      <c r="E37" s="123"/>
      <c r="F37" s="123"/>
      <c r="G37" s="123"/>
      <c r="H37" s="124"/>
    </row>
    <row r="38" spans="2:8">
      <c r="B38" s="122"/>
      <c r="C38" s="123"/>
      <c r="D38" s="123"/>
      <c r="E38" s="123"/>
      <c r="F38" s="123"/>
      <c r="G38" s="123"/>
      <c r="H38" s="124"/>
    </row>
    <row r="39" spans="2:8">
      <c r="B39" s="122"/>
      <c r="C39" s="123"/>
      <c r="D39" s="123"/>
      <c r="E39" s="123"/>
      <c r="F39" s="123"/>
      <c r="G39" s="123"/>
      <c r="H39" s="124"/>
    </row>
    <row r="40" spans="2:8">
      <c r="B40" s="122"/>
      <c r="C40" s="123"/>
      <c r="D40" s="123"/>
      <c r="E40" s="123"/>
      <c r="F40" s="123"/>
      <c r="G40" s="123"/>
      <c r="H40" s="124"/>
    </row>
    <row r="41" spans="2:8">
      <c r="B41" s="125"/>
      <c r="C41" s="126"/>
      <c r="D41" s="126"/>
      <c r="E41" s="126"/>
      <c r="F41" s="126"/>
      <c r="G41" s="126"/>
      <c r="H41" s="127"/>
    </row>
    <row r="45" spans="2:8">
      <c r="G45" s="1" t="s">
        <v>45</v>
      </c>
    </row>
  </sheetData>
  <sheetProtection algorithmName="SHA-512" hashValue="fRpgfdDtPu/gZQuRJ93DhJfFTkWizyO5tRb1PKJOP4y3UT1ZdK0cIGlCDlZl9c+l2f/t9KpMK9rF7cnrF8Ypvw==" saltValue="oNVn0/4ZwyxYtqwGOToWSg==" spinCount="100000" sheet="1" objects="1" scenarios="1" selectLockedCells="1"/>
  <mergeCells count="9">
    <mergeCell ref="B32:H41"/>
    <mergeCell ref="B4:H4"/>
    <mergeCell ref="B31:H31"/>
    <mergeCell ref="B25:H25"/>
    <mergeCell ref="B1:D1"/>
    <mergeCell ref="F1:H1"/>
    <mergeCell ref="B3:H3"/>
    <mergeCell ref="B2:H2"/>
    <mergeCell ref="B5:H24"/>
  </mergeCells>
  <pageMargins left="0.59" right="0.52" top="0.48" bottom="0.41" header="0.3" footer="0.3"/>
  <pageSetup paperSize="9" orientation="portrait" horizontalDpi="4294967293" verticalDpi="599"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3:E43"/>
  <sheetViews>
    <sheetView workbookViewId="0">
      <selection activeCell="B24" sqref="B24:B43"/>
    </sheetView>
  </sheetViews>
  <sheetFormatPr defaultRowHeight="15"/>
  <cols>
    <col min="1" max="1" width="35" customWidth="1"/>
    <col min="2" max="2" width="6.5703125" customWidth="1"/>
    <col min="3" max="3" width="3.7109375" bestFit="1" customWidth="1"/>
    <col min="4" max="4" width="18" bestFit="1" customWidth="1"/>
    <col min="5" max="5" width="15.85546875" customWidth="1"/>
    <col min="6" max="6" width="10.42578125" bestFit="1" customWidth="1"/>
  </cols>
  <sheetData>
    <row r="3" spans="2:5">
      <c r="B3" s="45" t="s">
        <v>46</v>
      </c>
      <c r="E3" s="45" t="s">
        <v>47</v>
      </c>
    </row>
    <row r="4" spans="2:5">
      <c r="B4" s="147">
        <v>2024</v>
      </c>
      <c r="C4" s="144" t="s">
        <v>48</v>
      </c>
      <c r="D4" s="53" t="s">
        <v>49</v>
      </c>
      <c r="E4" s="54">
        <f>DATE(B4,1,1)</f>
        <v>45292</v>
      </c>
    </row>
    <row r="5" spans="2:5">
      <c r="B5" s="147"/>
      <c r="C5" s="145"/>
      <c r="D5" s="53" t="s">
        <v>50</v>
      </c>
      <c r="E5" s="54">
        <f>DATE(B4,1,6)</f>
        <v>45297</v>
      </c>
    </row>
    <row r="6" spans="2:5">
      <c r="B6" s="147"/>
      <c r="C6" s="145"/>
      <c r="D6" s="53" t="s">
        <v>51</v>
      </c>
      <c r="E6" s="54">
        <f>DATE(B4,3,25)</f>
        <v>45376</v>
      </c>
    </row>
    <row r="7" spans="2:5">
      <c r="B7" s="147"/>
      <c r="C7" s="145"/>
      <c r="D7" s="53" t="s">
        <v>52</v>
      </c>
      <c r="E7" s="54">
        <f>DATE(B4,5,1)</f>
        <v>45413</v>
      </c>
    </row>
    <row r="8" spans="2:5">
      <c r="B8" s="147"/>
      <c r="C8" s="145"/>
      <c r="D8" s="53" t="s">
        <v>53</v>
      </c>
      <c r="E8" s="54">
        <f>DATE(B4,8,15)</f>
        <v>45519</v>
      </c>
    </row>
    <row r="9" spans="2:5">
      <c r="B9" s="147"/>
      <c r="C9" s="145"/>
      <c r="D9" s="53" t="s">
        <v>54</v>
      </c>
      <c r="E9" s="54">
        <f>DATE(B4,10,28)</f>
        <v>45593</v>
      </c>
    </row>
    <row r="10" spans="2:5">
      <c r="B10" s="147"/>
      <c r="C10" s="145"/>
      <c r="D10" s="53" t="s">
        <v>55</v>
      </c>
      <c r="E10" s="54">
        <f>DATE(B4,12,25)</f>
        <v>45651</v>
      </c>
    </row>
    <row r="11" spans="2:5">
      <c r="B11" s="147"/>
      <c r="C11" s="146"/>
      <c r="D11" s="53" t="s">
        <v>56</v>
      </c>
      <c r="E11" s="54">
        <f>DATE(B4,12,26)</f>
        <v>45652</v>
      </c>
    </row>
    <row r="12" spans="2:5">
      <c r="B12" s="147"/>
      <c r="C12" s="142" t="s">
        <v>57</v>
      </c>
      <c r="D12" s="46" t="s">
        <v>58</v>
      </c>
      <c r="E12" s="44">
        <v>45369</v>
      </c>
    </row>
    <row r="13" spans="2:5">
      <c r="B13" s="147"/>
      <c r="C13" s="143"/>
      <c r="D13" s="46" t="s">
        <v>59</v>
      </c>
      <c r="E13" s="44">
        <v>45415</v>
      </c>
    </row>
    <row r="14" spans="2:5">
      <c r="B14" s="147"/>
      <c r="C14" s="143"/>
      <c r="D14" s="46" t="s">
        <v>60</v>
      </c>
      <c r="E14" s="44">
        <f>E13+1</f>
        <v>45416</v>
      </c>
    </row>
    <row r="15" spans="2:5">
      <c r="B15" s="147"/>
      <c r="C15" s="143"/>
      <c r="D15" s="46" t="s">
        <v>61</v>
      </c>
      <c r="E15" s="44">
        <f>E14+1</f>
        <v>45417</v>
      </c>
    </row>
    <row r="16" spans="2:5">
      <c r="B16" s="147"/>
      <c r="C16" s="143"/>
      <c r="D16" s="46" t="s">
        <v>62</v>
      </c>
      <c r="E16" s="44">
        <f>E15+1</f>
        <v>45418</v>
      </c>
    </row>
    <row r="17" spans="2:5">
      <c r="B17" s="147"/>
      <c r="C17" s="143"/>
      <c r="D17" s="46" t="s">
        <v>63</v>
      </c>
      <c r="E17" s="44">
        <v>45466</v>
      </c>
    </row>
    <row r="18" spans="2:5">
      <c r="B18" s="147"/>
      <c r="C18" s="143"/>
      <c r="D18" s="46" t="s">
        <v>64</v>
      </c>
      <c r="E18" s="44">
        <v>45467</v>
      </c>
    </row>
    <row r="19" spans="2:5">
      <c r="B19" s="147"/>
      <c r="C19" s="143"/>
      <c r="D19" s="46" t="s">
        <v>65</v>
      </c>
      <c r="E19" s="44"/>
    </row>
    <row r="20" spans="2:5">
      <c r="B20" s="147"/>
      <c r="C20" s="143"/>
      <c r="D20" s="46" t="s">
        <v>66</v>
      </c>
      <c r="E20" s="44"/>
    </row>
    <row r="21" spans="2:5">
      <c r="B21" s="147"/>
      <c r="C21" s="143"/>
      <c r="D21" s="46" t="s">
        <v>67</v>
      </c>
      <c r="E21" s="44"/>
    </row>
    <row r="22" spans="2:5">
      <c r="B22" s="147"/>
      <c r="C22" s="143"/>
      <c r="D22" s="46" t="s">
        <v>68</v>
      </c>
      <c r="E22" s="44"/>
    </row>
    <row r="23" spans="2:5">
      <c r="B23" s="147"/>
      <c r="C23" s="143"/>
      <c r="D23" s="46" t="s">
        <v>69</v>
      </c>
      <c r="E23" s="44"/>
    </row>
    <row r="24" spans="2:5">
      <c r="B24" s="147">
        <v>2025</v>
      </c>
      <c r="C24" s="144" t="s">
        <v>48</v>
      </c>
      <c r="D24" s="53" t="s">
        <v>49</v>
      </c>
      <c r="E24" s="54">
        <f>DATE(B24,1,1)</f>
        <v>45658</v>
      </c>
    </row>
    <row r="25" spans="2:5">
      <c r="B25" s="147"/>
      <c r="C25" s="145"/>
      <c r="D25" s="53" t="s">
        <v>50</v>
      </c>
      <c r="E25" s="54">
        <f>DATE(B24,1,6)</f>
        <v>45663</v>
      </c>
    </row>
    <row r="26" spans="2:5">
      <c r="B26" s="147"/>
      <c r="C26" s="145"/>
      <c r="D26" s="53" t="s">
        <v>51</v>
      </c>
      <c r="E26" s="54">
        <f>DATE(B24,3,25)</f>
        <v>45741</v>
      </c>
    </row>
    <row r="27" spans="2:5">
      <c r="B27" s="147"/>
      <c r="C27" s="145"/>
      <c r="D27" s="53" t="s">
        <v>52</v>
      </c>
      <c r="E27" s="54">
        <f>DATE(B24,5,1)</f>
        <v>45778</v>
      </c>
    </row>
    <row r="28" spans="2:5">
      <c r="B28" s="147"/>
      <c r="C28" s="145"/>
      <c r="D28" s="53" t="s">
        <v>53</v>
      </c>
      <c r="E28" s="54">
        <f>DATE(B24,8,15)</f>
        <v>45884</v>
      </c>
    </row>
    <row r="29" spans="2:5">
      <c r="B29" s="147"/>
      <c r="C29" s="145"/>
      <c r="D29" s="53" t="s">
        <v>54</v>
      </c>
      <c r="E29" s="54">
        <f>DATE(B24,10,28)</f>
        <v>45958</v>
      </c>
    </row>
    <row r="30" spans="2:5">
      <c r="B30" s="147"/>
      <c r="C30" s="145"/>
      <c r="D30" s="53" t="s">
        <v>55</v>
      </c>
      <c r="E30" s="54">
        <f>DATE(B24,12,25)</f>
        <v>46016</v>
      </c>
    </row>
    <row r="31" spans="2:5">
      <c r="B31" s="147"/>
      <c r="C31" s="146"/>
      <c r="D31" s="53" t="s">
        <v>56</v>
      </c>
      <c r="E31" s="54">
        <f>DATE(B24,12,26)</f>
        <v>46017</v>
      </c>
    </row>
    <row r="32" spans="2:5">
      <c r="B32" s="147"/>
      <c r="C32" s="142" t="s">
        <v>57</v>
      </c>
      <c r="D32" s="46" t="s">
        <v>58</v>
      </c>
      <c r="E32" s="44">
        <v>45719</v>
      </c>
    </row>
    <row r="33" spans="2:5">
      <c r="B33" s="147"/>
      <c r="C33" s="143"/>
      <c r="D33" s="46" t="s">
        <v>59</v>
      </c>
      <c r="E33" s="44">
        <v>45765</v>
      </c>
    </row>
    <row r="34" spans="2:5">
      <c r="B34" s="147"/>
      <c r="C34" s="143"/>
      <c r="D34" s="46" t="s">
        <v>60</v>
      </c>
      <c r="E34" s="44">
        <f>E33+1</f>
        <v>45766</v>
      </c>
    </row>
    <row r="35" spans="2:5">
      <c r="B35" s="147"/>
      <c r="C35" s="143"/>
      <c r="D35" s="46" t="s">
        <v>61</v>
      </c>
      <c r="E35" s="44">
        <f>E34+1</f>
        <v>45767</v>
      </c>
    </row>
    <row r="36" spans="2:5">
      <c r="B36" s="147"/>
      <c r="C36" s="143"/>
      <c r="D36" s="46" t="s">
        <v>62</v>
      </c>
      <c r="E36" s="44">
        <f>E35+1</f>
        <v>45768</v>
      </c>
    </row>
    <row r="37" spans="2:5">
      <c r="B37" s="147"/>
      <c r="C37" s="143"/>
      <c r="D37" s="46" t="s">
        <v>63</v>
      </c>
      <c r="E37" s="44">
        <v>45816</v>
      </c>
    </row>
    <row r="38" spans="2:5">
      <c r="B38" s="147"/>
      <c r="C38" s="143"/>
      <c r="D38" s="46" t="s">
        <v>64</v>
      </c>
      <c r="E38" s="44">
        <f>E37+1</f>
        <v>45817</v>
      </c>
    </row>
    <row r="39" spans="2:5">
      <c r="B39" s="147"/>
      <c r="C39" s="143"/>
      <c r="D39" s="46" t="s">
        <v>65</v>
      </c>
      <c r="E39" s="44"/>
    </row>
    <row r="40" spans="2:5">
      <c r="B40" s="147"/>
      <c r="C40" s="143"/>
      <c r="D40" s="46" t="s">
        <v>66</v>
      </c>
      <c r="E40" s="44"/>
    </row>
    <row r="41" spans="2:5">
      <c r="B41" s="147"/>
      <c r="C41" s="143"/>
      <c r="D41" s="46" t="s">
        <v>67</v>
      </c>
      <c r="E41" s="44"/>
    </row>
    <row r="42" spans="2:5">
      <c r="B42" s="147"/>
      <c r="C42" s="143"/>
      <c r="D42" s="46" t="s">
        <v>68</v>
      </c>
      <c r="E42" s="44"/>
    </row>
    <row r="43" spans="2:5">
      <c r="B43" s="147"/>
      <c r="C43" s="143"/>
      <c r="D43" s="46" t="s">
        <v>69</v>
      </c>
      <c r="E43" s="44"/>
    </row>
  </sheetData>
  <mergeCells count="6">
    <mergeCell ref="C12:C23"/>
    <mergeCell ref="C4:C11"/>
    <mergeCell ref="B4:B23"/>
    <mergeCell ref="C24:C31"/>
    <mergeCell ref="C32:C43"/>
    <mergeCell ref="B24:B43"/>
  </mergeCells>
  <pageMargins left="0.7" right="0.7" top="0.75" bottom="0.75" header="0.3" footer="0.3"/>
  <ignoredErrors>
    <ignoredError sqref="E14:E16 E34:E36" unlockedFormula="1"/>
  </ignoredErrors>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TEI of Larisa, Greece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Βιβλίο Πρακτικής Άσκησης Ασκούμενου - Πανεπιστήμιο Θεσσαλίας</dc:title>
  <dc:subject/>
  <dc:creator>Φώτης Κόκκορας</dc:creator>
  <cp:keywords>Πρακτική Άσκηση</cp:keywords>
  <dc:description/>
  <cp:lastModifiedBy>Paraskevi Meletsi (GR)</cp:lastModifiedBy>
  <cp:revision/>
  <dcterms:created xsi:type="dcterms:W3CDTF">2014-03-27T11:41:39Z</dcterms:created>
  <dcterms:modified xsi:type="dcterms:W3CDTF">2026-04-29T09:01:21Z</dcterms:modified>
  <cp:category/>
  <cp:contentStatus/>
</cp:coreProperties>
</file>
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workbookAlgorithmName="SHA-512" workbookHashValue="3pjuvwHrnVK/PpW/545pWIW5uwRRoAsvgQ1CjlQSYcN+yAn2pfmkv/ZYyNN+KK/XOuPlbTgt61/34+dz2ecUVA==" workbookSaltValue="mH8YWw8GME+vOymAG0D+2w==" workbookSpinCount="100000"/>
  <bookViews>
    <workbookView visibility="visible" minimized="0" showHorizontalScroll="1" showVerticalScroll="1" showSheetTabs="1" xWindow="-120" yWindow="-120" windowWidth="29040" windowHeight="18240" tabRatio="916" firstSheet="0" activeTab="0" autoFilterDateGrouping="1"/>
  </bookViews>
  <sheets>
    <sheet xmlns:r="http://schemas.openxmlformats.org/officeDocument/2006/relationships" name="Στοιχεία Πρακτικής" sheetId="1" state="visible" r:id="rId1"/>
    <sheet xmlns:r="http://schemas.openxmlformats.org/officeDocument/2006/relationships" name="1ος" sheetId="2" state="visible" r:id="rId2"/>
    <sheet xmlns:r="http://schemas.openxmlformats.org/officeDocument/2006/relationships" name="2ος" sheetId="3" state="visible" r:id="rId3"/>
    <sheet xmlns:r="http://schemas.openxmlformats.org/officeDocument/2006/relationships" name="3ος" sheetId="4" state="visible" r:id="rId4"/>
    <sheet xmlns:r="http://schemas.openxmlformats.org/officeDocument/2006/relationships" name="4ος" sheetId="5" state="visible" r:id="rId5"/>
    <sheet xmlns:r="http://schemas.openxmlformats.org/officeDocument/2006/relationships" name="5ος" sheetId="6" state="visible" r:id="rId6"/>
    <sheet xmlns:r="http://schemas.openxmlformats.org/officeDocument/2006/relationships" name="6ος" sheetId="7" state="visible" r:id="rId7"/>
    <sheet xmlns:r="http://schemas.openxmlformats.org/officeDocument/2006/relationships" name="extra" sheetId="8" state="visible" r:id="rId8"/>
    <sheet xmlns:r="http://schemas.openxmlformats.org/officeDocument/2006/relationships" name="ΑΠΟΛΟΓΙΣΜΟΣ" sheetId="9" state="visible" r:id="rId9"/>
    <sheet xmlns:r="http://schemas.openxmlformats.org/officeDocument/2006/relationships" name="Αργίες" sheetId="10" state="visible" r:id="rId10"/>
  </sheets>
  <definedNames>
    <definedName name="holidays">Αργίες!$E$4:$E$63</definedName>
  </definedNames>
  <calcPr calcId="191028" fullCalcOnLoad="1"/>
</workbook>
</file>

<file path=xl/styles.xml><?xml version="1.0" encoding="utf-8"?>
<styleSheet xmlns="http://schemas.openxmlformats.org/spreadsheetml/2006/main">
  <numFmts count="6">
    <numFmt numFmtId="164" formatCode="ddd\ dd/mmm"/>
    <numFmt numFmtId="165" formatCode="[$-F800]dddd\,\ mmmm\ dd\,\ yyyy"/>
    <numFmt numFmtId="166" formatCode="ddd\ yyyy/mm/dd"/>
    <numFmt numFmtId="167" formatCode="ddd\,\ yyyy/mm/dd"/>
    <numFmt numFmtId="168" formatCode="dddd"/>
    <numFmt numFmtId="169" formatCode="d/m/yyyy"/>
  </numFmts>
  <fonts count="50">
    <font>
      <name val="Calibri"/>
      <charset val="161"/>
      <family val="2"/>
      <color theme="1"/>
      <sz val="11"/>
      <scheme val="minor"/>
    </font>
    <font>
      <name val="Calibri"/>
      <charset val="161"/>
      <family val="2"/>
      <color theme="1"/>
      <sz val="16"/>
      <scheme val="minor"/>
    </font>
    <font>
      <name val="Calibri"/>
      <charset val="161"/>
      <family val="2"/>
      <color theme="1"/>
      <sz val="18"/>
      <scheme val="minor"/>
    </font>
    <font>
      <name val="Calibri"/>
      <charset val="161"/>
      <family val="2"/>
      <color rgb="FF006100"/>
      <sz val="11"/>
      <scheme val="minor"/>
    </font>
    <font>
      <name val="Calibri"/>
      <charset val="161"/>
      <family val="2"/>
      <color rgb="FF9C6500"/>
      <sz val="11"/>
      <scheme val="minor"/>
    </font>
    <font>
      <name val="Calibri"/>
      <charset val="161"/>
      <family val="2"/>
      <color rgb="FF3F3F76"/>
      <sz val="11"/>
      <scheme val="minor"/>
    </font>
    <font>
      <name val="Calibri"/>
      <charset val="161"/>
      <family val="2"/>
      <b val="1"/>
      <color theme="1"/>
      <sz val="11"/>
      <scheme val="minor"/>
    </font>
    <font>
      <name val="Calibri"/>
      <charset val="161"/>
      <family val="2"/>
      <color theme="1"/>
      <sz val="8"/>
      <scheme val="minor"/>
    </font>
    <font>
      <name val="Calibri"/>
      <charset val="161"/>
      <family val="2"/>
      <b val="1"/>
      <color rgb="FF3F3F76"/>
      <sz val="11"/>
      <scheme val="minor"/>
    </font>
    <font>
      <name val="Cambria"/>
      <charset val="161"/>
      <family val="1"/>
      <b val="1"/>
      <color rgb="FF583900"/>
      <sz val="11"/>
      <scheme val="major"/>
    </font>
    <font>
      <name val="Calibri"/>
      <charset val="161"/>
      <family val="2"/>
      <color theme="0" tint="-0.3499862666707358"/>
      <sz val="9"/>
      <scheme val="minor"/>
    </font>
    <font>
      <name val="Cambria"/>
      <charset val="161"/>
      <family val="1"/>
      <b val="1"/>
      <color rgb="FFC00000"/>
      <sz val="14"/>
      <scheme val="major"/>
    </font>
    <font>
      <name val="Calibri"/>
      <charset val="161"/>
      <family val="2"/>
      <i val="1"/>
      <color rgb="FF7F7F7F"/>
      <sz val="11"/>
      <scheme val="minor"/>
    </font>
    <font>
      <name val="Calibri"/>
      <charset val="161"/>
      <family val="2"/>
      <b val="1"/>
      <color theme="1" tint="0.249977111117893"/>
      <sz val="15"/>
      <scheme val="minor"/>
    </font>
    <font>
      <name val="Calibri"/>
      <charset val="161"/>
      <family val="2"/>
      <b val="1"/>
      <color theme="1" tint="0.249977111117893"/>
      <sz val="14"/>
      <scheme val="minor"/>
    </font>
    <font>
      <name val="Calibri"/>
      <charset val="161"/>
      <family val="2"/>
      <color theme="1"/>
      <sz val="15"/>
      <scheme val="minor"/>
    </font>
    <font>
      <name val="Calibri"/>
      <charset val="161"/>
      <family val="2"/>
      <b val="1"/>
      <color theme="1"/>
      <sz val="15"/>
      <scheme val="minor"/>
    </font>
    <font>
      <name val="Cambria"/>
      <charset val="161"/>
      <family val="1"/>
      <b val="1"/>
      <color theme="1"/>
      <sz val="14"/>
      <scheme val="major"/>
    </font>
    <font>
      <name val="Cambria"/>
      <charset val="161"/>
      <family val="1"/>
      <b val="1"/>
      <color theme="1"/>
      <sz val="11"/>
      <scheme val="major"/>
    </font>
    <font>
      <name val="Calibri"/>
      <charset val="161"/>
      <family val="2"/>
      <color rgb="FF3F3F76"/>
      <sz val="12"/>
      <scheme val="minor"/>
    </font>
    <font>
      <name val="Calibri"/>
      <charset val="161"/>
      <family val="2"/>
      <sz val="12"/>
      <scheme val="minor"/>
    </font>
    <font>
      <name val="Cambria"/>
      <charset val="161"/>
      <family val="1"/>
      <b val="1"/>
      <color rgb="FF7A4E00"/>
      <sz val="12"/>
      <scheme val="major"/>
    </font>
    <font>
      <name val="Calibri"/>
      <charset val="161"/>
      <family val="2"/>
      <b val="1"/>
      <color rgb="FFC00000"/>
      <sz val="14"/>
      <scheme val="minor"/>
    </font>
    <font>
      <name val="Calibri"/>
      <charset val="161"/>
      <family val="2"/>
      <i val="1"/>
      <color theme="1" tint="0.499984740745262"/>
      <sz val="11"/>
      <scheme val="minor"/>
    </font>
    <font>
      <name val="Calibri"/>
      <charset val="161"/>
      <family val="2"/>
      <b val="1"/>
      <color theme="1"/>
      <sz val="12"/>
      <scheme val="minor"/>
    </font>
    <font>
      <name val="Calibri"/>
      <charset val="161"/>
      <family val="2"/>
      <i val="1"/>
      <color theme="1" tint="0.499984740745262"/>
      <sz val="10"/>
      <scheme val="minor"/>
    </font>
    <font>
      <name val="Calibri"/>
      <charset val="161"/>
      <family val="2"/>
      <b val="1"/>
      <color theme="1"/>
      <sz val="14"/>
      <scheme val="minor"/>
    </font>
    <font>
      <name val="Cambria"/>
      <charset val="161"/>
      <family val="1"/>
      <b val="1"/>
      <color rgb="FF7A4E00"/>
      <sz val="13"/>
      <scheme val="major"/>
    </font>
    <font>
      <name val="Cambria"/>
      <charset val="161"/>
      <family val="1"/>
      <b val="1"/>
      <color rgb="FF7A4E00"/>
      <sz val="16"/>
      <scheme val="major"/>
    </font>
    <font>
      <name val="Cambria"/>
      <charset val="161"/>
      <family val="1"/>
      <b val="1"/>
      <color theme="1"/>
      <sz val="18"/>
      <scheme val="major"/>
    </font>
    <font>
      <name val="Cambria"/>
      <charset val="161"/>
      <family val="1"/>
      <b val="1"/>
      <color theme="1"/>
      <sz val="22"/>
      <scheme val="major"/>
    </font>
    <font>
      <name val="Cambria"/>
      <charset val="161"/>
      <family val="1"/>
      <color theme="1" tint="0.249977111117893"/>
      <sz val="14"/>
      <scheme val="major"/>
    </font>
    <font>
      <name val="Calibri"/>
      <charset val="161"/>
      <family val="2"/>
      <i val="1"/>
      <color theme="1" tint="0.499984740745262"/>
      <sz val="8"/>
      <scheme val="minor"/>
    </font>
    <font>
      <name val="Tahoma"/>
      <charset val="161"/>
      <family val="2"/>
      <color indexed="81"/>
      <sz val="9"/>
    </font>
    <font>
      <name val="Tahoma"/>
      <charset val="161"/>
      <family val="2"/>
      <b val="1"/>
      <color indexed="81"/>
      <sz val="9"/>
    </font>
    <font>
      <name val="Calibri"/>
      <charset val="161"/>
      <family val="2"/>
      <b val="1"/>
      <i val="1"/>
      <color theme="1" tint="0.3499862666707358"/>
      <sz val="11"/>
      <scheme val="minor"/>
    </font>
    <font>
      <name val="Calibri"/>
      <charset val="161"/>
      <family val="2"/>
      <color theme="1" tint="0.3499862666707358"/>
      <sz val="9"/>
      <scheme val="minor"/>
    </font>
    <font>
      <name val="Calibri"/>
      <charset val="161"/>
      <family val="2"/>
      <color theme="1"/>
      <sz val="24"/>
      <scheme val="minor"/>
    </font>
    <font>
      <name val="Calibri"/>
      <charset val="161"/>
      <family val="2"/>
      <i val="1"/>
      <color theme="1" tint="0.3499862666707358"/>
      <sz val="10"/>
      <scheme val="minor"/>
    </font>
    <font>
      <name val="Calibri"/>
      <charset val="161"/>
      <family val="2"/>
      <i val="1"/>
      <sz val="11"/>
      <scheme val="minor"/>
    </font>
    <font>
      <name val="Calibri"/>
      <charset val="161"/>
      <family val="2"/>
      <b val="1"/>
      <i val="1"/>
      <sz val="14"/>
      <scheme val="minor"/>
    </font>
    <font>
      <name val="Calibri"/>
      <charset val="161"/>
      <family val="2"/>
      <color theme="0" tint="-0.499984740745262"/>
      <sz val="9"/>
      <scheme val="minor"/>
    </font>
    <font>
      <name val="Calibri"/>
      <charset val="161"/>
      <family val="2"/>
      <color theme="0" tint="-0.3499862666707358"/>
      <sz val="11"/>
      <scheme val="minor"/>
    </font>
    <font>
      <name val="Arial Narrow"/>
      <charset val="161"/>
      <family val="2"/>
      <b val="1"/>
      <color theme="1" tint="0.249977111117893"/>
      <sz val="13"/>
    </font>
    <font>
      <name val="Calibri"/>
      <charset val="161"/>
      <family val="2"/>
      <b val="1"/>
      <color rgb="FF006100"/>
      <sz val="11"/>
      <scheme val="minor"/>
    </font>
    <font>
      <name val="Calibri"/>
      <charset val="161"/>
      <family val="2"/>
      <color theme="0" tint="-0.249977111117893"/>
      <sz val="11"/>
      <scheme val="minor"/>
    </font>
    <font>
      <name val="Calibri"/>
      <charset val="161"/>
      <family val="2"/>
      <color theme="1"/>
      <sz val="14"/>
      <scheme val="minor"/>
    </font>
    <font>
      <name val="Calibri"/>
      <charset val="161"/>
      <family val="2"/>
      <b val="1"/>
      <sz val="11"/>
      <scheme val="minor"/>
    </font>
    <font>
      <name val="Calibri"/>
      <charset val="161"/>
      <family val="2"/>
      <i val="1"/>
      <color theme="1"/>
      <sz val="9"/>
      <scheme val="minor"/>
    </font>
    <font>
      <name val="Calibri"/>
      <charset val="161"/>
      <family val="2"/>
      <i val="1"/>
      <color theme="1" tint="0.499984740745262"/>
      <sz val="9"/>
      <scheme val="minor"/>
    </font>
  </fonts>
  <fills count="14">
    <fill>
      <patternFill/>
    </fill>
    <fill>
      <patternFill patternType="gray125"/>
    </fill>
    <fill>
      <patternFill patternType="solid">
        <fgColor rgb="FFC6EFCE"/>
      </patternFill>
    </fill>
    <fill>
      <patternFill patternType="solid">
        <fgColor rgb="FFFFEB9C"/>
      </patternFill>
    </fill>
    <fill>
      <patternFill patternType="solid">
        <fgColor rgb="FFFFCC99"/>
      </patternFill>
    </fill>
    <fill>
      <patternFill patternType="solid">
        <fgColor theme="9" tint="0.5999938962981048"/>
        <bgColor indexed="64"/>
      </patternFill>
    </fill>
    <fill>
      <patternFill patternType="solid">
        <fgColor theme="6" tint="0.7999816888943144"/>
        <bgColor indexed="64"/>
      </patternFill>
    </fill>
    <fill>
      <patternFill patternType="solid">
        <fgColor theme="9" tint="0.7999816888943144"/>
        <bgColor indexed="64"/>
      </patternFill>
    </fill>
    <fill>
      <patternFill patternType="solid">
        <fgColor theme="7" tint="0.7999816888943144"/>
        <bgColor indexed="64"/>
      </patternFill>
    </fill>
    <fill>
      <patternFill patternType="solid">
        <fgColor theme="0" tint="-0.0499893185216834"/>
        <bgColor indexed="64"/>
      </patternFill>
    </fill>
    <fill>
      <patternFill patternType="solid">
        <fgColor rgb="FFFFEB88"/>
        <bgColor indexed="64"/>
      </patternFill>
    </fill>
    <fill>
      <patternFill patternType="solid">
        <fgColor theme="5" tint="0.7999816888943144"/>
        <bgColor indexed="64"/>
      </patternFill>
    </fill>
    <fill>
      <patternFill patternType="solid">
        <fgColor theme="8" tint="0.7999816888943144"/>
        <bgColor indexed="64"/>
      </patternFill>
    </fill>
    <fill>
      <patternFill patternType="solid">
        <fgColor rgb="FF00B0F0"/>
        <bgColor indexed="64"/>
      </patternFill>
    </fill>
  </fills>
  <borders count="3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7F7F7F"/>
      </left>
      <right style="thin">
        <color rgb="FF7F7F7F"/>
      </right>
      <top/>
      <bottom style="thin">
        <color rgb="FF7F7F7F"/>
      </bottom>
      <diagonal/>
    </border>
    <border>
      <left style="thin">
        <color indexed="64"/>
      </left>
      <right/>
      <top/>
      <bottom/>
      <diagonal/>
    </border>
    <border>
      <left/>
      <right style="thin">
        <color indexed="64"/>
      </right>
      <top/>
      <bottom/>
      <diagonal/>
    </border>
    <border>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top style="thin">
        <color rgb="FF7F7F7F"/>
      </top>
      <bottom style="thin">
        <color indexed="64"/>
      </bottom>
      <diagonal/>
    </border>
    <border>
      <left/>
      <right/>
      <top style="thin">
        <color rgb="FF7F7F7F"/>
      </top>
      <bottom style="thin">
        <color indexed="64"/>
      </bottom>
      <diagonal/>
    </border>
    <border>
      <left/>
      <right style="thin">
        <color rgb="FF7F7F7F"/>
      </right>
      <top style="thin">
        <color rgb="FF7F7F7F"/>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rgb="FF7F7F7F"/>
      </left>
      <right style="thin">
        <color rgb="FF7F7F7F"/>
      </right>
      <top style="thin">
        <color rgb="FF7F7F7F"/>
      </top>
      <bottom style="thin">
        <color indexed="64"/>
      </bottom>
      <diagonal/>
    </border>
    <border>
      <left/>
      <right/>
      <top style="thin">
        <color rgb="FF7F7F7F"/>
      </top>
      <bottom/>
      <diagonal/>
    </border>
    <border>
      <left/>
      <right style="thin">
        <color rgb="FF7F7F7F"/>
      </right>
      <top style="thin">
        <color rgb="FF7F7F7F"/>
      </top>
      <bottom/>
      <diagonal/>
    </border>
  </borders>
  <cellStyleXfs count="5">
    <xf numFmtId="0" fontId="0" fillId="0" borderId="0"/>
    <xf numFmtId="0" fontId="3" fillId="2" borderId="0"/>
    <xf numFmtId="0" fontId="4" fillId="3" borderId="0"/>
    <xf numFmtId="0" fontId="5" fillId="4" borderId="5"/>
    <xf numFmtId="0" fontId="12" fillId="0" borderId="0"/>
  </cellStyleXfs>
  <cellXfs count="203">
    <xf numFmtId="0" fontId="0" fillId="0" borderId="0" pivotButton="0" quotePrefix="0" xfId="0"/>
    <xf numFmtId="0" fontId="0"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vertical="top"/>
    </xf>
    <xf numFmtId="0" fontId="7" fillId="0" borderId="0" applyAlignment="1" pivotButton="0" quotePrefix="0" xfId="0">
      <alignment horizontal="right" vertical="center"/>
    </xf>
    <xf numFmtId="0" fontId="0" fillId="0" borderId="0" applyAlignment="1" pivotButton="0" quotePrefix="0" xfId="0">
      <alignment horizontal="right"/>
    </xf>
    <xf numFmtId="0" fontId="15" fillId="6" borderId="11" applyAlignment="1" applyProtection="1" pivotButton="0" quotePrefix="0" xfId="0">
      <alignment horizontal="left" vertical="center"/>
      <protection locked="0" hidden="0"/>
    </xf>
    <xf numFmtId="0" fontId="15" fillId="6" borderId="17" applyAlignment="1" applyProtection="1" pivotButton="0" quotePrefix="0" xfId="0">
      <alignment horizontal="left" vertical="center"/>
      <protection locked="0" hidden="0"/>
    </xf>
    <xf numFmtId="0" fontId="16" fillId="6" borderId="17" applyAlignment="1" applyProtection="1" pivotButton="0" quotePrefix="0" xfId="0">
      <alignment horizontal="left" vertical="center"/>
      <protection locked="0" hidden="0"/>
    </xf>
    <xf numFmtId="0" fontId="15" fillId="6" borderId="14" applyAlignment="1" applyProtection="1" pivotButton="0" quotePrefix="0" xfId="0">
      <alignment horizontal="left" vertical="center"/>
      <protection locked="0" hidden="0"/>
    </xf>
    <xf numFmtId="0" fontId="18" fillId="8" borderId="8" applyAlignment="1" pivotButton="0" quotePrefix="0" xfId="0">
      <alignment horizontal="center"/>
    </xf>
    <xf numFmtId="0" fontId="19" fillId="5" borderId="5" applyAlignment="1" pivotButton="0" quotePrefix="0" xfId="3">
      <alignment horizontal="right"/>
    </xf>
    <xf numFmtId="0" fontId="17" fillId="8" borderId="7" applyAlignment="1" pivotButton="0" quotePrefix="0" xfId="0">
      <alignment horizontal="center"/>
    </xf>
    <xf numFmtId="0" fontId="21" fillId="3" borderId="5" applyAlignment="1" pivotButton="0" quotePrefix="0" xfId="2">
      <alignment horizontal="center" vertical="center"/>
    </xf>
    <xf numFmtId="0" fontId="21" fillId="3" borderId="5" applyAlignment="1" pivotButton="0" quotePrefix="0" xfId="2">
      <alignment horizontal="center" vertical="center" wrapText="1"/>
    </xf>
    <xf numFmtId="0" fontId="6" fillId="0" borderId="0" applyAlignment="1" pivotButton="0" quotePrefix="0" xfId="0">
      <alignment horizontal="right" vertical="center"/>
    </xf>
    <xf numFmtId="0" fontId="22" fillId="3" borderId="15" applyAlignment="1" pivotButton="0" quotePrefix="0" xfId="2">
      <alignment horizontal="center" vertical="center"/>
    </xf>
    <xf numFmtId="0" fontId="24" fillId="0" borderId="0" applyAlignment="1" pivotButton="0" quotePrefix="0" xfId="0">
      <alignment horizontal="right"/>
    </xf>
    <xf numFmtId="0" fontId="22" fillId="3" borderId="6" applyAlignment="1" pivotButton="0" quotePrefix="0" xfId="2">
      <alignment horizontal="center"/>
    </xf>
    <xf numFmtId="0" fontId="13" fillId="7" borderId="9" applyAlignment="1" pivotButton="0" quotePrefix="0" xfId="0">
      <alignment horizontal="right" vertical="center" indent="1"/>
    </xf>
    <xf numFmtId="0" fontId="13" fillId="7" borderId="16" applyAlignment="1" pivotButton="0" quotePrefix="0" xfId="0">
      <alignment horizontal="right" vertical="center" indent="1"/>
    </xf>
    <xf numFmtId="0" fontId="13" fillId="7" borderId="12" applyAlignment="1" pivotButton="0" quotePrefix="0" xfId="0">
      <alignment horizontal="right" vertical="center" indent="1"/>
    </xf>
    <xf numFmtId="0" fontId="0" fillId="6" borderId="8" applyAlignment="1" applyProtection="1" pivotButton="0" quotePrefix="0" xfId="0">
      <alignment vertical="center" wrapText="1"/>
      <protection locked="0" hidden="0"/>
    </xf>
    <xf numFmtId="0" fontId="0" fillId="6" borderId="6" applyAlignment="1" applyProtection="1" pivotButton="0" quotePrefix="0" xfId="0">
      <alignment vertical="center" wrapText="1"/>
      <protection locked="0" hidden="0"/>
    </xf>
    <xf numFmtId="164" fontId="8" fillId="7" borderId="8" applyAlignment="1" pivotButton="0" quotePrefix="0" xfId="3">
      <alignment horizontal="center" vertical="center" wrapText="1"/>
    </xf>
    <xf numFmtId="0" fontId="0" fillId="6" borderId="8" applyAlignment="1" applyProtection="1" pivotButton="0" quotePrefix="0" xfId="0">
      <alignment horizontal="center" vertical="center" wrapText="1"/>
      <protection locked="0" hidden="0"/>
    </xf>
    <xf numFmtId="0" fontId="1" fillId="6" borderId="8" applyAlignment="1" applyProtection="1" pivotButton="0" quotePrefix="0" xfId="0">
      <alignment horizontal="center" vertical="center"/>
      <protection locked="0" hidden="0"/>
    </xf>
    <xf numFmtId="164" fontId="8" fillId="7" borderId="6" applyAlignment="1" pivotButton="0" quotePrefix="0" xfId="3">
      <alignment horizontal="center" vertical="center" wrapText="1"/>
    </xf>
    <xf numFmtId="0" fontId="0" fillId="6" borderId="6" applyAlignment="1" applyProtection="1" pivotButton="0" quotePrefix="0" xfId="0">
      <alignment horizontal="center" vertical="center" wrapText="1"/>
      <protection locked="0" hidden="0"/>
    </xf>
    <xf numFmtId="0" fontId="1" fillId="6" borderId="6" applyAlignment="1" applyProtection="1" pivotButton="0" quotePrefix="0" xfId="0">
      <alignment horizontal="center" vertical="center"/>
      <protection locked="0" hidden="0"/>
    </xf>
    <xf numFmtId="14" fontId="20" fillId="6" borderId="6" applyAlignment="1" applyProtection="1" pivotButton="0" quotePrefix="0" xfId="1">
      <alignment horizontal="left"/>
      <protection locked="0" hidden="0"/>
    </xf>
    <xf numFmtId="14" fontId="19" fillId="5" borderId="5" applyAlignment="1" pivotButton="0" quotePrefix="0" xfId="3">
      <alignment horizontal="left"/>
    </xf>
    <xf numFmtId="14" fontId="20" fillId="7" borderId="6" applyAlignment="1" pivotButton="0" quotePrefix="0" xfId="1">
      <alignment horizontal="left"/>
    </xf>
    <xf numFmtId="0" fontId="32" fillId="0" borderId="0" applyAlignment="1" pivotButton="0" quotePrefix="0" xfId="0">
      <alignment horizontal="left"/>
    </xf>
    <xf numFmtId="1" fontId="17" fillId="8" borderId="7" applyAlignment="1" pivotButton="0" quotePrefix="0" xfId="0">
      <alignment horizontal="center"/>
    </xf>
    <xf numFmtId="0" fontId="14" fillId="7" borderId="8" applyAlignment="1" pivotButton="0" quotePrefix="0" xfId="0">
      <alignment horizontal="center" vertical="center"/>
    </xf>
    <xf numFmtId="0" fontId="42" fillId="7" borderId="25" applyAlignment="1" pivotButton="0" quotePrefix="0" xfId="0">
      <alignment horizontal="right" vertical="center" indent="1"/>
    </xf>
    <xf numFmtId="0" fontId="26" fillId="7" borderId="8" applyAlignment="1" pivotButton="0" quotePrefix="0" xfId="0">
      <alignment horizontal="center" vertical="center"/>
    </xf>
    <xf numFmtId="0" fontId="26" fillId="7" borderId="9" applyAlignment="1" pivotButton="0" quotePrefix="0" xfId="0">
      <alignment horizontal="right" vertical="center" indent="1"/>
    </xf>
    <xf numFmtId="0" fontId="26" fillId="7" borderId="12" applyAlignment="1" pivotButton="0" quotePrefix="0" xfId="0">
      <alignment horizontal="right" vertical="center" indent="1"/>
    </xf>
    <xf numFmtId="165" fontId="2" fillId="0" borderId="0" applyAlignment="1" pivotButton="0" quotePrefix="0" xfId="0">
      <alignment vertical="top"/>
    </xf>
    <xf numFmtId="0" fontId="14" fillId="7" borderId="25" applyAlignment="1" pivotButton="0" quotePrefix="0" xfId="0">
      <alignment horizontal="right" vertical="center" indent="1"/>
    </xf>
    <xf numFmtId="0" fontId="43" fillId="7" borderId="1" applyAlignment="1" pivotButton="0" quotePrefix="0" xfId="0">
      <alignment horizontal="right" vertical="center" indent="1"/>
    </xf>
    <xf numFmtId="1" fontId="42" fillId="7" borderId="26" applyAlignment="1" pivotButton="0" quotePrefix="0" xfId="0">
      <alignment horizontal="left" vertical="center"/>
    </xf>
    <xf numFmtId="166" fontId="3" fillId="2" borderId="6" applyProtection="1" pivotButton="0" quotePrefix="0" xfId="1">
      <protection locked="0" hidden="0"/>
    </xf>
    <xf numFmtId="0" fontId="8" fillId="4" borderId="6" applyAlignment="1" pivotButton="0" quotePrefix="0" xfId="3">
      <alignment horizontal="center"/>
    </xf>
    <xf numFmtId="0" fontId="0" fillId="7" borderId="6" pivotButton="0" quotePrefix="0" xfId="0"/>
    <xf numFmtId="0" fontId="43" fillId="7" borderId="3" applyAlignment="1" pivotButton="0" quotePrefix="0" xfId="0">
      <alignment horizontal="right" vertical="center" indent="1"/>
    </xf>
    <xf numFmtId="0" fontId="25" fillId="0" borderId="0" applyAlignment="1" pivotButton="0" quotePrefix="0" xfId="0">
      <alignment wrapText="1"/>
    </xf>
    <xf numFmtId="167" fontId="15" fillId="6" borderId="2" applyAlignment="1" applyProtection="1" pivotButton="0" quotePrefix="0" xfId="0">
      <alignment horizontal="left" vertical="center"/>
      <protection locked="0" hidden="0"/>
    </xf>
    <xf numFmtId="167" fontId="15" fillId="7" borderId="4" applyAlignment="1" pivotButton="0" quotePrefix="0" xfId="0">
      <alignment horizontal="left" vertical="center"/>
    </xf>
    <xf numFmtId="167" fontId="15" fillId="7" borderId="26" applyAlignment="1" pivotButton="0" quotePrefix="0" xfId="0">
      <alignment horizontal="left" vertical="center"/>
    </xf>
    <xf numFmtId="0" fontId="45" fillId="0" borderId="0" applyAlignment="1" pivotButton="0" quotePrefix="0" xfId="0">
      <alignment horizontal="center"/>
    </xf>
    <xf numFmtId="0" fontId="0" fillId="12" borderId="6" pivotButton="0" quotePrefix="0" xfId="0"/>
    <xf numFmtId="166" fontId="0" fillId="12" borderId="6" pivotButton="0" quotePrefix="0" xfId="0"/>
    <xf numFmtId="1" fontId="15" fillId="6" borderId="26" applyAlignment="1" applyProtection="1" pivotButton="0" quotePrefix="0" xfId="0">
      <alignment horizontal="left" vertical="center"/>
      <protection locked="0" hidden="0"/>
    </xf>
    <xf numFmtId="1" fontId="48" fillId="0" borderId="0" pivotButton="0" quotePrefix="0" xfId="0"/>
    <xf numFmtId="0" fontId="49" fillId="0" borderId="0" applyAlignment="1" pivotButton="0" quotePrefix="0" xfId="0">
      <alignment horizontal="left"/>
    </xf>
    <xf numFmtId="14" fontId="41" fillId="0" borderId="0" pivotButton="0" quotePrefix="0" xfId="0"/>
    <xf numFmtId="0" fontId="30" fillId="0" borderId="0" applyAlignment="1" pivotButton="0" quotePrefix="0" xfId="0">
      <alignment horizontal="right" wrapText="1"/>
    </xf>
    <xf numFmtId="0" fontId="31" fillId="0" borderId="0" applyAlignment="1" pivotButton="0" quotePrefix="1" xfId="0">
      <alignment horizontal="center"/>
    </xf>
    <xf numFmtId="0" fontId="31" fillId="0" borderId="0" applyAlignment="1" pivotButton="0" quotePrefix="0" xfId="0">
      <alignment horizontal="center"/>
    </xf>
    <xf numFmtId="0" fontId="15" fillId="6" borderId="9" applyAlignment="1" applyProtection="1" pivotButton="0" quotePrefix="0" xfId="0">
      <alignment horizontal="left" vertical="center"/>
      <protection locked="0" hidden="0"/>
    </xf>
    <xf numFmtId="0" fontId="15" fillId="6" borderId="11" applyAlignment="1" applyProtection="1" pivotButton="0" quotePrefix="0" xfId="0">
      <alignment horizontal="left" vertical="center"/>
      <protection locked="0" hidden="0"/>
    </xf>
    <xf numFmtId="0" fontId="15" fillId="6" borderId="12" applyAlignment="1" applyProtection="1" pivotButton="0" quotePrefix="0" xfId="0">
      <alignment horizontal="left" vertical="center"/>
      <protection locked="0" hidden="0"/>
    </xf>
    <xf numFmtId="0" fontId="15" fillId="6" borderId="14" applyAlignment="1" applyProtection="1" pivotButton="0" quotePrefix="0" xfId="0">
      <alignment horizontal="left" vertical="center"/>
      <protection locked="0" hidden="0"/>
    </xf>
    <xf numFmtId="0" fontId="26" fillId="7" borderId="1" applyAlignment="1" pivotButton="0" quotePrefix="0" xfId="0">
      <alignment horizontal="right" vertical="center" wrapText="1" indent="1"/>
    </xf>
    <xf numFmtId="0" fontId="26" fillId="7" borderId="3" applyAlignment="1" pivotButton="0" quotePrefix="0" xfId="0">
      <alignment horizontal="right" vertical="center" indent="1"/>
    </xf>
    <xf numFmtId="0" fontId="37" fillId="7" borderId="2" applyAlignment="1" pivotButton="0" quotePrefix="0" xfId="0">
      <alignment horizontal="left" vertical="center" indent="1"/>
    </xf>
    <xf numFmtId="0" fontId="37" fillId="7" borderId="4" applyAlignment="1" pivotButton="0" quotePrefix="0" xfId="0">
      <alignment horizontal="left" vertical="center" indent="1"/>
    </xf>
    <xf numFmtId="0" fontId="15" fillId="6" borderId="16" applyAlignment="1" applyProtection="1" pivotButton="0" quotePrefix="0" xfId="0">
      <alignment horizontal="left" vertical="center"/>
      <protection locked="0" hidden="0"/>
    </xf>
    <xf numFmtId="0" fontId="15" fillId="6" borderId="17" applyAlignment="1" applyProtection="1" pivotButton="0" quotePrefix="0" xfId="0">
      <alignment horizontal="left" vertical="center"/>
      <protection locked="0" hidden="0"/>
    </xf>
    <xf numFmtId="0" fontId="38" fillId="0" borderId="18" applyAlignment="1" pivotButton="0" quotePrefix="0" xfId="0">
      <alignment horizontal="center" vertical="center" wrapText="1"/>
    </xf>
    <xf numFmtId="0" fontId="38" fillId="0" borderId="0" applyAlignment="1" pivotButton="0" quotePrefix="0" xfId="0">
      <alignment horizontal="center" vertical="center" wrapText="1"/>
    </xf>
    <xf numFmtId="0" fontId="11" fillId="0" borderId="0" applyAlignment="1" pivotButton="0" quotePrefix="0" xfId="0">
      <alignment horizontal="center"/>
    </xf>
    <xf numFmtId="168" fontId="10" fillId="0" borderId="16" applyAlignment="1" pivotButton="0" quotePrefix="0" xfId="0">
      <alignment horizontal="left" indent="1"/>
    </xf>
    <xf numFmtId="168" fontId="10" fillId="0" borderId="0" applyAlignment="1" pivotButton="0" quotePrefix="0" xfId="0">
      <alignment horizontal="left" indent="1"/>
    </xf>
    <xf numFmtId="0" fontId="9" fillId="3" borderId="6" applyAlignment="1" pivotButton="0" quotePrefix="0" xfId="2">
      <alignment horizontal="center" vertical="center" wrapText="1"/>
    </xf>
    <xf numFmtId="168" fontId="36" fillId="0" borderId="16" applyAlignment="1" pivotButton="0" quotePrefix="0" xfId="0">
      <alignment horizontal="left" indent="1"/>
    </xf>
    <xf numFmtId="168" fontId="36" fillId="0" borderId="0" applyAlignment="1" pivotButton="0" quotePrefix="0" xfId="0">
      <alignment horizontal="left" indent="1"/>
    </xf>
    <xf numFmtId="0" fontId="23" fillId="9" borderId="9" applyAlignment="1" pivotButton="0" quotePrefix="1" xfId="4">
      <alignment horizontal="left" vertical="center" wrapText="1" indent="1"/>
    </xf>
    <xf numFmtId="0" fontId="23" fillId="9" borderId="10" applyAlignment="1" pivotButton="0" quotePrefix="1" xfId="4">
      <alignment horizontal="left" vertical="center" wrapText="1" indent="1"/>
    </xf>
    <xf numFmtId="0" fontId="23" fillId="9" borderId="11" applyAlignment="1" pivotButton="0" quotePrefix="1" xfId="4">
      <alignment horizontal="left" vertical="center" wrapText="1" indent="1"/>
    </xf>
    <xf numFmtId="0" fontId="23" fillId="9" borderId="16" applyAlignment="1" pivotButton="0" quotePrefix="1" xfId="4">
      <alignment horizontal="left" vertical="center" wrapText="1" indent="1"/>
    </xf>
    <xf numFmtId="0" fontId="23" fillId="9" borderId="0" applyAlignment="1" pivotButton="0" quotePrefix="1" xfId="4">
      <alignment horizontal="left" vertical="center" wrapText="1" indent="1"/>
    </xf>
    <xf numFmtId="0" fontId="23" fillId="9" borderId="17" applyAlignment="1" pivotButton="0" quotePrefix="1" xfId="4">
      <alignment horizontal="left" vertical="center" wrapText="1" indent="1"/>
    </xf>
    <xf numFmtId="0" fontId="23" fillId="9" borderId="12" applyAlignment="1" pivotButton="0" quotePrefix="1" xfId="4">
      <alignment horizontal="left" vertical="center" wrapText="1" indent="1"/>
    </xf>
    <xf numFmtId="0" fontId="23" fillId="9" borderId="13" applyAlignment="1" pivotButton="0" quotePrefix="1" xfId="4">
      <alignment horizontal="left" vertical="center" wrapText="1" indent="1"/>
    </xf>
    <xf numFmtId="0" fontId="23" fillId="9" borderId="14" applyAlignment="1" pivotButton="0" quotePrefix="1" xfId="4">
      <alignment horizontal="left" vertical="center" wrapText="1" indent="1"/>
    </xf>
    <xf numFmtId="0" fontId="0" fillId="6" borderId="9" applyAlignment="1" applyProtection="1" pivotButton="0" quotePrefix="0" xfId="0">
      <alignment horizontal="center" vertical="top" wrapText="1"/>
      <protection locked="0" hidden="0"/>
    </xf>
    <xf numFmtId="0" fontId="0" fillId="6" borderId="10" applyAlignment="1" applyProtection="1" pivotButton="0" quotePrefix="0" xfId="0">
      <alignment horizontal="center" vertical="top" wrapText="1"/>
      <protection locked="0" hidden="0"/>
    </xf>
    <xf numFmtId="0" fontId="0" fillId="6" borderId="11" applyAlignment="1" applyProtection="1" pivotButton="0" quotePrefix="0" xfId="0">
      <alignment horizontal="center" vertical="top" wrapText="1"/>
      <protection locked="0" hidden="0"/>
    </xf>
    <xf numFmtId="0" fontId="0" fillId="6" borderId="12" applyAlignment="1" applyProtection="1" pivotButton="0" quotePrefix="0" xfId="0">
      <alignment horizontal="center" vertical="top" wrapText="1"/>
      <protection locked="0" hidden="0"/>
    </xf>
    <xf numFmtId="0" fontId="0" fillId="6" borderId="13" applyAlignment="1" applyProtection="1" pivotButton="0" quotePrefix="0" xfId="0">
      <alignment horizontal="center" vertical="top" wrapText="1"/>
      <protection locked="0" hidden="0"/>
    </xf>
    <xf numFmtId="0" fontId="0" fillId="6" borderId="14" applyAlignment="1" applyProtection="1" pivotButton="0" quotePrefix="0" xfId="0">
      <alignment horizontal="center" vertical="top" wrapText="1"/>
      <protection locked="0" hidden="0"/>
    </xf>
    <xf numFmtId="0" fontId="0" fillId="11" borderId="19" applyAlignment="1" applyProtection="1" pivotButton="0" quotePrefix="0" xfId="0">
      <alignment horizontal="center" vertical="top" wrapText="1"/>
      <protection locked="0" hidden="0"/>
    </xf>
    <xf numFmtId="0" fontId="0" fillId="11" borderId="20" applyAlignment="1" applyProtection="1" pivotButton="0" quotePrefix="0" xfId="0">
      <alignment horizontal="center" vertical="top" wrapText="1"/>
      <protection locked="0" hidden="0"/>
    </xf>
    <xf numFmtId="0" fontId="0" fillId="11" borderId="21" applyAlignment="1" applyProtection="1" pivotButton="0" quotePrefix="0" xfId="0">
      <alignment horizontal="center" vertical="top" wrapText="1"/>
      <protection locked="0" hidden="0"/>
    </xf>
    <xf numFmtId="0" fontId="27" fillId="10" borderId="19" applyAlignment="1" pivotButton="0" quotePrefix="0" xfId="0">
      <alignment horizontal="center"/>
    </xf>
    <xf numFmtId="0" fontId="27" fillId="10" borderId="20" applyAlignment="1" pivotButton="0" quotePrefix="0" xfId="0">
      <alignment horizontal="center"/>
    </xf>
    <xf numFmtId="0" fontId="27" fillId="10" borderId="21" applyAlignment="1" pivotButton="0" quotePrefix="0" xfId="0">
      <alignment horizontal="center"/>
    </xf>
    <xf numFmtId="0" fontId="23" fillId="9" borderId="9" applyAlignment="1" pivotButton="0" quotePrefix="1" xfId="4">
      <alignment horizontal="left" vertical="top" wrapText="1" indent="1"/>
    </xf>
    <xf numFmtId="0" fontId="23" fillId="9" borderId="10" applyAlignment="1" pivotButton="0" quotePrefix="1" xfId="4">
      <alignment horizontal="left" vertical="top" wrapText="1" indent="1"/>
    </xf>
    <xf numFmtId="0" fontId="23" fillId="9" borderId="11" applyAlignment="1" pivotButton="0" quotePrefix="1" xfId="4">
      <alignment horizontal="left" vertical="top" wrapText="1" indent="1"/>
    </xf>
    <xf numFmtId="0" fontId="23" fillId="9" borderId="16" applyAlignment="1" pivotButton="0" quotePrefix="1" xfId="4">
      <alignment horizontal="left" vertical="top" wrapText="1" indent="1"/>
    </xf>
    <xf numFmtId="0" fontId="23" fillId="9" borderId="0" applyAlignment="1" pivotButton="0" quotePrefix="1" xfId="4">
      <alignment horizontal="left" vertical="top" wrapText="1" indent="1"/>
    </xf>
    <xf numFmtId="0" fontId="23" fillId="9" borderId="17" applyAlignment="1" pivotButton="0" quotePrefix="1" xfId="4">
      <alignment horizontal="left" vertical="top" wrapText="1" indent="1"/>
    </xf>
    <xf numFmtId="0" fontId="23" fillId="9" borderId="12" applyAlignment="1" pivotButton="0" quotePrefix="1" xfId="4">
      <alignment horizontal="left" vertical="top" wrapText="1" indent="1"/>
    </xf>
    <xf numFmtId="0" fontId="23" fillId="9" borderId="13" applyAlignment="1" pivotButton="0" quotePrefix="1" xfId="4">
      <alignment horizontal="left" vertical="top" wrapText="1" indent="1"/>
    </xf>
    <xf numFmtId="0" fontId="23" fillId="9" borderId="14" applyAlignment="1" pivotButton="0" quotePrefix="1" xfId="4">
      <alignment horizontal="left" vertical="top" wrapText="1" indent="1"/>
    </xf>
    <xf numFmtId="0" fontId="0" fillId="6" borderId="9" applyAlignment="1" applyProtection="1" pivotButton="0" quotePrefix="0" xfId="0">
      <alignment horizontal="left" vertical="top" wrapText="1"/>
      <protection locked="0" hidden="0"/>
    </xf>
    <xf numFmtId="0" fontId="0" fillId="6" borderId="10" applyAlignment="1" applyProtection="1" pivotButton="0" quotePrefix="0" xfId="0">
      <alignment horizontal="left" vertical="top" wrapText="1"/>
      <protection locked="0" hidden="0"/>
    </xf>
    <xf numFmtId="0" fontId="0" fillId="6" borderId="11" applyAlignment="1" applyProtection="1" pivotButton="0" quotePrefix="0" xfId="0">
      <alignment horizontal="left" vertical="top" wrapText="1"/>
      <protection locked="0" hidden="0"/>
    </xf>
    <xf numFmtId="0" fontId="0" fillId="6" borderId="12" applyAlignment="1" applyProtection="1" pivotButton="0" quotePrefix="0" xfId="0">
      <alignment horizontal="left" vertical="top" wrapText="1"/>
      <protection locked="0" hidden="0"/>
    </xf>
    <xf numFmtId="0" fontId="0" fillId="6" borderId="13" applyAlignment="1" applyProtection="1" pivotButton="0" quotePrefix="0" xfId="0">
      <alignment horizontal="left" vertical="top" wrapText="1"/>
      <protection locked="0" hidden="0"/>
    </xf>
    <xf numFmtId="0" fontId="0" fillId="6" borderId="14" applyAlignment="1" applyProtection="1" pivotButton="0" quotePrefix="0" xfId="0">
      <alignment horizontal="left" vertical="top" wrapText="1"/>
      <protection locked="0" hidden="0"/>
    </xf>
    <xf numFmtId="0" fontId="0" fillId="6" borderId="19" applyAlignment="1" applyProtection="1" pivotButton="0" quotePrefix="0" xfId="0">
      <alignment horizontal="center" vertical="top" wrapText="1"/>
      <protection locked="0" hidden="0"/>
    </xf>
    <xf numFmtId="0" fontId="0" fillId="6" borderId="20" applyAlignment="1" applyProtection="1" pivotButton="0" quotePrefix="0" xfId="0">
      <alignment horizontal="center" vertical="top" wrapText="1"/>
      <protection locked="0" hidden="0"/>
    </xf>
    <xf numFmtId="0" fontId="0" fillId="6" borderId="21" applyAlignment="1" applyProtection="1" pivotButton="0" quotePrefix="0" xfId="0">
      <alignment horizontal="center" vertical="top" wrapText="1"/>
      <protection locked="0" hidden="0"/>
    </xf>
    <xf numFmtId="0" fontId="0" fillId="11" borderId="9" applyAlignment="1" applyProtection="1" pivotButton="0" quotePrefix="0" xfId="0">
      <alignment horizontal="left" vertical="top" wrapText="1"/>
      <protection locked="0" hidden="0"/>
    </xf>
    <xf numFmtId="0" fontId="0" fillId="11" borderId="10" applyAlignment="1" applyProtection="1" pivotButton="0" quotePrefix="0" xfId="0">
      <alignment horizontal="left" vertical="top" wrapText="1"/>
      <protection locked="0" hidden="0"/>
    </xf>
    <xf numFmtId="0" fontId="0" fillId="11" borderId="11" applyAlignment="1" applyProtection="1" pivotButton="0" quotePrefix="0" xfId="0">
      <alignment horizontal="left" vertical="top" wrapText="1"/>
      <protection locked="0" hidden="0"/>
    </xf>
    <xf numFmtId="0" fontId="0" fillId="11" borderId="16" applyAlignment="1" applyProtection="1" pivotButton="0" quotePrefix="0" xfId="0">
      <alignment horizontal="left" vertical="top" wrapText="1"/>
      <protection locked="0" hidden="0"/>
    </xf>
    <xf numFmtId="0" fontId="0" fillId="11" borderId="0" applyAlignment="1" applyProtection="1" pivotButton="0" quotePrefix="0" xfId="0">
      <alignment horizontal="left" vertical="top" wrapText="1"/>
      <protection locked="0" hidden="0"/>
    </xf>
    <xf numFmtId="0" fontId="0" fillId="11" borderId="17" applyAlignment="1" applyProtection="1" pivotButton="0" quotePrefix="0" xfId="0">
      <alignment horizontal="left" vertical="top" wrapText="1"/>
      <protection locked="0" hidden="0"/>
    </xf>
    <xf numFmtId="0" fontId="0" fillId="11" borderId="12" applyAlignment="1" applyProtection="1" pivotButton="0" quotePrefix="0" xfId="0">
      <alignment horizontal="left" vertical="top" wrapText="1"/>
      <protection locked="0" hidden="0"/>
    </xf>
    <xf numFmtId="0" fontId="0" fillId="11" borderId="13" applyAlignment="1" applyProtection="1" pivotButton="0" quotePrefix="0" xfId="0">
      <alignment horizontal="left" vertical="top" wrapText="1"/>
      <protection locked="0" hidden="0"/>
    </xf>
    <xf numFmtId="0" fontId="0" fillId="11" borderId="14" applyAlignment="1" applyProtection="1" pivotButton="0" quotePrefix="0" xfId="0">
      <alignment horizontal="left" vertical="top" wrapText="1"/>
      <protection locked="0" hidden="0"/>
    </xf>
    <xf numFmtId="0" fontId="21" fillId="3" borderId="22" applyAlignment="1" pivotButton="0" quotePrefix="0" xfId="2">
      <alignment horizontal="center" vertical="center" wrapText="1"/>
    </xf>
    <xf numFmtId="0" fontId="21" fillId="3" borderId="23" applyAlignment="1" pivotButton="0" quotePrefix="0" xfId="2">
      <alignment horizontal="center" vertical="center" wrapText="1"/>
    </xf>
    <xf numFmtId="0" fontId="21" fillId="3" borderId="24" applyAlignment="1" pivotButton="0" quotePrefix="0" xfId="2">
      <alignment horizontal="center" vertical="center" wrapText="1"/>
    </xf>
    <xf numFmtId="0" fontId="21" fillId="3" borderId="19" applyAlignment="1" pivotButton="0" quotePrefix="0" xfId="2">
      <alignment horizontal="center" vertical="center" wrapText="1"/>
    </xf>
    <xf numFmtId="0" fontId="21" fillId="3" borderId="20" applyAlignment="1" pivotButton="0" quotePrefix="0" xfId="2">
      <alignment horizontal="center" vertical="center" wrapText="1"/>
    </xf>
    <xf numFmtId="0" fontId="21" fillId="3" borderId="21" applyAlignment="1" pivotButton="0" quotePrefix="0" xfId="2">
      <alignment horizontal="center" vertical="center" wrapText="1"/>
    </xf>
    <xf numFmtId="0" fontId="25" fillId="0" borderId="10" applyAlignment="1" pivotButton="0" quotePrefix="0" xfId="0">
      <alignment horizontal="center"/>
    </xf>
    <xf numFmtId="0" fontId="46" fillId="0" borderId="0" applyAlignment="1" pivotButton="0" quotePrefix="0" xfId="0">
      <alignment horizontal="right"/>
    </xf>
    <xf numFmtId="0" fontId="46" fillId="0" borderId="0" applyAlignment="1" pivotButton="0" quotePrefix="0" xfId="0">
      <alignment horizontal="left"/>
    </xf>
    <xf numFmtId="0" fontId="25" fillId="0" borderId="0" applyAlignment="1" pivotButton="0" quotePrefix="0" xfId="0">
      <alignment horizontal="center"/>
    </xf>
    <xf numFmtId="0" fontId="29" fillId="0" borderId="0" applyAlignment="1" pivotButton="0" quotePrefix="0" xfId="0">
      <alignment horizontal="center"/>
    </xf>
    <xf numFmtId="0" fontId="0" fillId="6" borderId="16" applyAlignment="1" applyProtection="1" pivotButton="0" quotePrefix="0" xfId="0">
      <alignment horizontal="left" vertical="top" wrapText="1"/>
      <protection locked="0" hidden="0"/>
    </xf>
    <xf numFmtId="0" fontId="0" fillId="6" borderId="0" applyAlignment="1" applyProtection="1" pivotButton="0" quotePrefix="0" xfId="0">
      <alignment horizontal="left" vertical="top" wrapText="1"/>
      <protection locked="0" hidden="0"/>
    </xf>
    <xf numFmtId="0" fontId="0" fillId="6" borderId="17" applyAlignment="1" applyProtection="1" pivotButton="0" quotePrefix="0" xfId="0">
      <alignment horizontal="left" vertical="top" wrapText="1"/>
      <protection locked="0" hidden="0"/>
    </xf>
    <xf numFmtId="0" fontId="8" fillId="4" borderId="11" applyAlignment="1" pivotButton="0" quotePrefix="0" xfId="3">
      <alignment horizontal="center" vertical="center" textRotation="90"/>
    </xf>
    <xf numFmtId="0" fontId="8" fillId="4" borderId="17" applyAlignment="1" pivotButton="0" quotePrefix="0" xfId="3">
      <alignment horizontal="center" vertical="center" textRotation="90"/>
    </xf>
    <xf numFmtId="0" fontId="47" fillId="13" borderId="11" applyAlignment="1" pivotButton="0" quotePrefix="0" xfId="2">
      <alignment horizontal="center" vertical="center" textRotation="90"/>
    </xf>
    <xf numFmtId="0" fontId="47" fillId="13" borderId="17" applyAlignment="1" pivotButton="0" quotePrefix="0" xfId="2">
      <alignment horizontal="center" vertical="center" textRotation="90"/>
    </xf>
    <xf numFmtId="0" fontId="47" fillId="13" borderId="14" applyAlignment="1" pivotButton="0" quotePrefix="0" xfId="2">
      <alignment horizontal="center" vertical="center" textRotation="90"/>
    </xf>
    <xf numFmtId="0" fontId="44" fillId="2" borderId="6" applyAlignment="1" applyProtection="1" pivotButton="0" quotePrefix="0" xfId="1">
      <alignment horizontal="center" vertical="center"/>
      <protection locked="0" hidden="0"/>
    </xf>
    <xf numFmtId="0" fontId="15" fillId="6" borderId="8" applyAlignment="1" applyProtection="1" pivotButton="0" quotePrefix="0" xfId="0">
      <alignment horizontal="left" vertical="center"/>
      <protection locked="0" hidden="0"/>
    </xf>
    <xf numFmtId="0" fontId="0" fillId="0" borderId="11" applyProtection="1" pivotButton="0" quotePrefix="0" xfId="0">
      <protection locked="0" hidden="0"/>
    </xf>
    <xf numFmtId="0" fontId="15" fillId="6" borderId="29" applyAlignment="1" applyProtection="1" pivotButton="0" quotePrefix="0" xfId="0">
      <alignment horizontal="left" vertical="center"/>
      <protection locked="0" hidden="0"/>
    </xf>
    <xf numFmtId="0" fontId="0" fillId="0" borderId="17" applyProtection="1" pivotButton="0" quotePrefix="0" xfId="0">
      <protection locked="0" hidden="0"/>
    </xf>
    <xf numFmtId="0" fontId="15" fillId="6" borderId="7" applyAlignment="1" applyProtection="1" pivotButton="0" quotePrefix="0" xfId="0">
      <alignment horizontal="left" vertical="center"/>
      <protection locked="0" hidden="0"/>
    </xf>
    <xf numFmtId="0" fontId="0" fillId="0" borderId="14" applyProtection="1" pivotButton="0" quotePrefix="0" xfId="0">
      <protection locked="0" hidden="0"/>
    </xf>
    <xf numFmtId="165" fontId="2" fillId="0" borderId="0" applyAlignment="1" pivotButton="0" quotePrefix="0" xfId="0">
      <alignment vertical="top"/>
    </xf>
    <xf numFmtId="169" fontId="15" fillId="6" borderId="2" applyAlignment="1" applyProtection="1" pivotButton="0" quotePrefix="0" xfId="0">
      <alignment horizontal="left" vertical="center"/>
      <protection locked="0" hidden="0"/>
    </xf>
    <xf numFmtId="167" fontId="15" fillId="7" borderId="26" applyAlignment="1" pivotButton="0" quotePrefix="0" xfId="0">
      <alignment horizontal="left" vertical="center"/>
    </xf>
    <xf numFmtId="169" fontId="15" fillId="7" borderId="4" applyAlignment="1" pivotButton="0" quotePrefix="0" xfId="0">
      <alignment horizontal="left" vertical="center"/>
    </xf>
    <xf numFmtId="0" fontId="26" fillId="7" borderId="27" applyAlignment="1" pivotButton="0" quotePrefix="0" xfId="0">
      <alignment horizontal="right" vertical="center" wrapText="1" indent="1"/>
    </xf>
    <xf numFmtId="0" fontId="37" fillId="7" borderId="28" applyAlignment="1" pivotButton="0" quotePrefix="0" xfId="0">
      <alignment horizontal="left" vertical="center" indent="1"/>
    </xf>
    <xf numFmtId="0" fontId="0" fillId="0" borderId="3" pivotButton="0" quotePrefix="0" xfId="0"/>
    <xf numFmtId="0" fontId="0" fillId="0" borderId="4" pivotButton="0" quotePrefix="0" xfId="0"/>
    <xf numFmtId="0" fontId="0" fillId="0" borderId="18" pivotButton="0" quotePrefix="0" xfId="0"/>
    <xf numFmtId="168" fontId="36" fillId="0" borderId="16" applyAlignment="1" pivotButton="0" quotePrefix="0" xfId="0">
      <alignment horizontal="left" indent="1"/>
    </xf>
    <xf numFmtId="0" fontId="0" fillId="0" borderId="20" pivotButton="0" quotePrefix="0" xfId="0"/>
    <xf numFmtId="0" fontId="0" fillId="0" borderId="21" pivotButton="0" quotePrefix="0" xfId="0"/>
    <xf numFmtId="0" fontId="0" fillId="6" borderId="6" applyAlignment="1" applyProtection="1" pivotButton="0" quotePrefix="0" xfId="0">
      <alignment horizontal="center" vertical="top" wrapText="1"/>
      <protection locked="0" hidden="0"/>
    </xf>
    <xf numFmtId="0" fontId="0" fillId="0" borderId="10" applyProtection="1" pivotButton="0" quotePrefix="0" xfId="0">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23" fillId="9" borderId="6" applyAlignment="1" pivotButton="0" quotePrefix="1" xfId="4">
      <alignment horizontal="left" vertical="center" wrapText="1" indent="1"/>
    </xf>
    <xf numFmtId="0" fontId="0" fillId="0" borderId="10" pivotButton="0" quotePrefix="0" xfId="0"/>
    <xf numFmtId="0" fontId="0" fillId="0" borderId="11" pivotButton="0" quotePrefix="0" xfId="0"/>
    <xf numFmtId="0" fontId="0" fillId="0" borderId="16" pivotButton="0" quotePrefix="0" xfId="0"/>
    <xf numFmtId="0" fontId="0" fillId="0" borderId="17" pivotButton="0" quotePrefix="0" xfId="0"/>
    <xf numFmtId="0" fontId="0" fillId="0" borderId="12" pivotButton="0" quotePrefix="0" xfId="0"/>
    <xf numFmtId="0" fontId="0" fillId="0" borderId="13" pivotButton="0" quotePrefix="0" xfId="0"/>
    <xf numFmtId="0" fontId="0" fillId="0" borderId="14" pivotButton="0" quotePrefix="0" xfId="0"/>
    <xf numFmtId="168" fontId="10" fillId="0" borderId="16" applyAlignment="1" pivotButton="0" quotePrefix="0" xfId="0">
      <alignment horizontal="left" indent="1"/>
    </xf>
    <xf numFmtId="0" fontId="0" fillId="6" borderId="6" applyAlignment="1" applyProtection="1" pivotButton="0" quotePrefix="0" xfId="0">
      <alignment horizontal="left" vertical="top" wrapText="1"/>
      <protection locked="0" hidden="0"/>
    </xf>
    <xf numFmtId="0" fontId="23" fillId="9" borderId="6" applyAlignment="1" pivotButton="0" quotePrefix="1" xfId="4">
      <alignment horizontal="left" vertical="top" wrapText="1" indent="1"/>
    </xf>
    <xf numFmtId="0" fontId="27" fillId="10" borderId="6" applyAlignment="1" pivotButton="0" quotePrefix="0" xfId="0">
      <alignment horizontal="center"/>
    </xf>
    <xf numFmtId="0" fontId="0" fillId="0" borderId="20" applyProtection="1" pivotButton="0" quotePrefix="0" xfId="0">
      <protection locked="0" hidden="0"/>
    </xf>
    <xf numFmtId="0" fontId="0" fillId="0" borderId="21" applyProtection="1" pivotButton="0" quotePrefix="0" xfId="0">
      <protection locked="0" hidden="0"/>
    </xf>
    <xf numFmtId="0" fontId="0" fillId="11" borderId="6" applyAlignment="1" applyProtection="1" pivotButton="0" quotePrefix="0" xfId="0">
      <alignment horizontal="center" vertical="top" wrapText="1"/>
      <protection locked="0" hidden="0"/>
    </xf>
    <xf numFmtId="169" fontId="20" fillId="6" borderId="6" applyAlignment="1" applyProtection="1" pivotButton="0" quotePrefix="0" xfId="1">
      <alignment horizontal="left"/>
      <protection locked="0" hidden="0"/>
    </xf>
    <xf numFmtId="0" fontId="21" fillId="3" borderId="30" applyAlignment="1" pivotButton="0" quotePrefix="0" xfId="2">
      <alignment horizontal="center" vertical="center" wrapText="1"/>
    </xf>
    <xf numFmtId="0" fontId="0" fillId="0" borderId="23" pivotButton="0" quotePrefix="0" xfId="0"/>
    <xf numFmtId="0" fontId="0" fillId="0" borderId="24" pivotButton="0" quotePrefix="0" xfId="0"/>
    <xf numFmtId="0" fontId="0" fillId="0" borderId="16" applyProtection="1" pivotButton="0" quotePrefix="0" xfId="0">
      <protection locked="0" hidden="0"/>
    </xf>
    <xf numFmtId="0" fontId="0" fillId="0" borderId="0" applyProtection="1" pivotButton="0" quotePrefix="0" xfId="0">
      <protection locked="0" hidden="0"/>
    </xf>
    <xf numFmtId="0" fontId="21" fillId="3" borderId="6" applyAlignment="1" pivotButton="0" quotePrefix="0" xfId="2">
      <alignment horizontal="center" vertical="center" wrapText="1"/>
    </xf>
    <xf numFmtId="0" fontId="0" fillId="11" borderId="6" applyAlignment="1" applyProtection="1" pivotButton="0" quotePrefix="0" xfId="0">
      <alignment horizontal="left" vertical="top" wrapText="1"/>
      <protection locked="0" hidden="0"/>
    </xf>
    <xf numFmtId="0" fontId="47" fillId="13" borderId="21" applyAlignment="1" pivotButton="0" quotePrefix="0" xfId="2">
      <alignment horizontal="center" vertical="center" textRotation="90"/>
    </xf>
    <xf numFmtId="166" fontId="0" fillId="12" borderId="6" pivotButton="0" quotePrefix="0" xfId="0"/>
    <xf numFmtId="0" fontId="0" fillId="0" borderId="29" applyProtection="1" pivotButton="0" quotePrefix="0" xfId="0">
      <protection locked="0" hidden="0"/>
    </xf>
    <xf numFmtId="166" fontId="3" fillId="2" borderId="6" applyProtection="1" pivotButton="0" quotePrefix="0" xfId="1">
      <protection locked="0" hidden="0"/>
    </xf>
    <xf numFmtId="0" fontId="0" fillId="0" borderId="7" applyProtection="1" pivotButton="0" quotePrefix="0" xfId="0">
      <protection locked="0" hidden="0"/>
    </xf>
    <xf numFmtId="0" fontId="44" fillId="2" borderId="6" applyAlignment="1" applyProtection="1" pivotButton="0" quotePrefix="0" xfId="0">
      <alignment horizontal="center" vertical="center"/>
      <protection locked="0" hidden="0"/>
    </xf>
    <xf numFmtId="0" fontId="47" fillId="13" borderId="21" applyAlignment="1" pivotButton="0" quotePrefix="0" xfId="0">
      <alignment horizontal="center" vertical="center" textRotation="90"/>
    </xf>
    <xf numFmtId="169" fontId="0" fillId="12" borderId="6" pivotButton="0" quotePrefix="0" xfId="0"/>
    <xf numFmtId="0" fontId="8" fillId="4" borderId="11" applyAlignment="1" pivotButton="0" quotePrefix="0" xfId="0">
      <alignment horizontal="center" vertical="center" textRotation="90"/>
    </xf>
    <xf numFmtId="169" fontId="3" fillId="2" borderId="6" applyProtection="1" pivotButton="0" quotePrefix="0" xfId="0">
      <protection locked="0" hidden="0"/>
    </xf>
  </cellXfs>
  <cellStyles count="5">
    <cellStyle name="Normal" xfId="0" builtinId="0"/>
    <cellStyle name="Good" xfId="1" builtinId="26"/>
    <cellStyle name="Neutral" xfId="2" builtinId="28"/>
    <cellStyle name="Input" xfId="3" builtinId="20"/>
    <cellStyle name="Explanatory Text" xfId="4" builtinId="53"/>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Fotis Kokkoras</author>
  </authors>
  <commentList>
    <comment ref="B16" authorId="0" shapeId="0">
      <text>
        <t>στην εταιρία</t>
      </text>
    </comment>
    <comment ref="C18" authorId="0" shapeId="0">
      <text>
        <t>ο ρόλος του επόπτη στο φορέα απασχόλησης</t>
      </text>
    </comment>
    <comment ref="C20" authorId="0" shapeId="0">
      <text>
        <t xml:space="preserve">Πρέπει να βάλετε την ημερομηνία έναρξης όπως αυτή ορίζεται στη σύμβαση που υπογράψατε. Αν αυτή η ημερομηνία αντιστοιχεί σε Σάββατο ή Κυριακή βάλτε την επόμενη Δευτέρα. Η διάρκεια της πρακτικής είναι 3 ως 6 ημερολογιακοί μήνες, ανάλογα με το είδος της Πρακτικής, οπότε η ημερομηνία λήξης βάση σύμβασης υπολογίζεται αυτόματα.
Οι ημέρες εργασίας υπολογίζονται κατ' εκτίμηση και εφόσον συμπληρώσετε το φύλλο με τις Αργίες.
Ο σωστός τρόπος καταχώρισης μιας ημερομηνίας είναι αυτός που βλέπετε στο ρολόι του Η/Υ σας, στην κάτω δεξιά γωνία της οθόνης (δεν είναι δηλαδή ίδιος σε κάθε Η/Υ). Εφόσον καταχωρίσετε σωστά την ημερομηνία και πατήσετε enter, στο κελί θα εμφανιστεί η μέρα της εβδομάδας και η ημερομηνία στην μορφή "μέρα έτος-μήνας-ημέρα" (αν δεν εμφανιστεί έτσι, δεν έχετε καταχωρίσει σωστά την ημερομηνία, διορθώστε το γιατί δεν θα λειτουργούν οι αυτοματισμοί του εγγράφου).
</t>
      </text>
    </comment>
    <comment ref="B23" authorId="0" shapeId="0">
      <text>
        <t>Δεν προσμετρώνται ημέρες που είναι επίσημες αργίες (πρέπει να τις έχετε δηλώσει στο φύλλο "Αργίες").
Εργάσιμες θεωρούνται οι ημέρες Δε-Τρ-Τε-Πε-Πα</t>
      </text>
    </comment>
  </commentList>
</comments>
</file>

<file path=xl/comments/comment2.xml><?xml version="1.0" encoding="utf-8"?>
<comments xmlns="http://schemas.openxmlformats.org/spreadsheetml/2006/main">
  <authors>
    <author>Fotis Kokkoras</author>
  </authors>
  <commentList>
    <comment ref="D7" authorId="0" shapeId="0">
      <text>
        <t>Αφήστε κενό το κελί ωρών σε κάθε μέρα που δεν ήταν εργάσιμη.</t>
      </text>
    </comment>
    <comment ref="F7" authorId="0" shapeId="0">
      <text>
        <t>Σύντομη Σύνοψη Εβδομάδας</t>
      </text>
    </comment>
  </commentList>
</comments>
</file>

<file path=xl/comments/comment3.xml><?xml version="1.0" encoding="utf-8"?>
<comments xmlns="http://schemas.openxmlformats.org/spreadsheetml/2006/main">
  <authors>
    <author>Fotis Kokkoras</author>
  </authors>
  <commentList>
    <comment ref="D7" authorId="0" shapeId="0">
      <text>
        <t>Αφήστε κενό το κελί ωρών σε κάθε μέρα που δεν ήταν εργάσιμη.</t>
      </text>
    </comment>
  </commentList>
</comments>
</file>

<file path=xl/comments/comment4.xml><?xml version="1.0" encoding="utf-8"?>
<comments xmlns="http://schemas.openxmlformats.org/spreadsheetml/2006/main">
  <authors>
    <author>Fotis Kokkoras</author>
  </authors>
  <commentList>
    <comment ref="D7" authorId="0" shapeId="0">
      <text>
        <t>Αφήστε κενό το κελί ωρών σε κάθε μέρα που δεν ήταν εργάσιμη.</t>
      </text>
    </comment>
  </commentList>
</comments>
</file>

<file path=xl/comments/comment5.xml><?xml version="1.0" encoding="utf-8"?>
<comments xmlns="http://schemas.openxmlformats.org/spreadsheetml/2006/main">
  <authors>
    <author>Fotis Kokkoras</author>
  </authors>
  <commentList>
    <comment ref="D7" authorId="0" shapeId="0">
      <text>
        <t>Αφήστε κενό το κελί ωρών σε κάθε μέρα που δεν ήταν εργάσιμη.</t>
      </text>
    </comment>
  </commentList>
</comments>
</file>

<file path=xl/comments/comment6.xml><?xml version="1.0" encoding="utf-8"?>
<comments xmlns="http://schemas.openxmlformats.org/spreadsheetml/2006/main">
  <authors>
    <author>Fotis Kokkoras</author>
  </authors>
  <commentList>
    <comment ref="D7" authorId="0" shapeId="0">
      <text>
        <t>Αφήστε κενό το κελί ωρών σε κάθε μέρα που δεν ήταν εργάσιμη.</t>
      </text>
    </comment>
  </commentList>
</comments>
</file>

<file path=xl/comments/comment7.xml><?xml version="1.0" encoding="utf-8"?>
<comments xmlns="http://schemas.openxmlformats.org/spreadsheetml/2006/main">
  <authors>
    <author>Fotis Kokkoras</author>
  </authors>
  <commentList>
    <comment ref="D7" authorId="0" shapeId="0">
      <text>
        <t>Αφήστε κενό το κελί ωρών σε κάθε μέρα που δεν ήταν εργάσιμη.</t>
      </text>
    </comment>
  </commentList>
</comments>
</file>

<file path=xl/comments/comment8.xml><?xml version="1.0" encoding="utf-8"?>
<comments xmlns="http://schemas.openxmlformats.org/spreadsheetml/2006/main">
  <authors>
    <author>Fotis Kokkoras</author>
  </authors>
  <commentList>
    <comment ref="B1" authorId="0" shapeId="0">
      <text>
        <t>Αυτό το φύλλο, φυσιολογικά δεν θα χρειαστεί. Υπάρχει για περιπτώσεις που απαιτούν περισσότερες εβδομάδες και δεν έχουν προβλεφθεί.</t>
      </text>
    </comment>
    <comment ref="D7" authorId="0" shapeId="0">
      <text>
        <t>Αφήστε κενό το κελί ωρών σε κάθε μέρα που δεν ήταν εργάσιμη.</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jpeg" Id="rId3"/></Relationships>
</file>

<file path=xl/drawings/drawing1.xml><?xml version="1.0" encoding="utf-8"?>
<wsDr xmlns="http://schemas.openxmlformats.org/drawingml/2006/spreadsheetDrawing">
  <twoCellAnchor editAs="oneCell">
    <from>
      <col>1</col>
      <colOff>104775</colOff>
      <row>4</row>
      <rowOff>152400</rowOff>
    </from>
    <to>
      <col>1</col>
      <colOff>952501</colOff>
      <row>7</row>
      <rowOff>158986</rowOff>
    </to>
    <pic>
      <nvPicPr>
        <cNvPr id="2" name="Picture 1"/>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7955"/>
        <a:stretch xmlns:a="http://schemas.openxmlformats.org/drawingml/2006/main">
          <a:fillRect/>
        </a:stretch>
      </blipFill>
      <spPr>
        <a:xfrm xmlns:a="http://schemas.openxmlformats.org/drawingml/2006/main">
          <a:off x="476250" y="1476375"/>
          <a:ext cx="847726" cy="920986"/>
        </a:xfrm>
        <a:prstGeom xmlns:a="http://schemas.openxmlformats.org/drawingml/2006/main" prst="rect">
          <avLst/>
        </a:prstGeom>
        <a:ln xmlns:a="http://schemas.openxmlformats.org/drawingml/2006/main">
          <a:prstDash val="solid"/>
        </a:ln>
      </spPr>
    </pic>
    <clientData/>
  </twoCellAnchor>
  <twoCellAnchor editAs="oneCell">
    <from>
      <col>2</col>
      <colOff>2486026</colOff>
      <row>18</row>
      <rowOff>352425</rowOff>
    </from>
    <to>
      <col>2</col>
      <colOff>3190876</colOff>
      <row>21</row>
      <rowOff>28575</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5067301" y="5762625"/>
          <a:ext cx="704850" cy="704850"/>
        </a:xfrm>
        <a:prstGeom xmlns:a="http://schemas.openxmlformats.org/drawingml/2006/main" prst="rect">
          <avLst/>
        </a:prstGeom>
        <a:ln xmlns:a="http://schemas.openxmlformats.org/drawingml/2006/main">
          <a:prstDash val="solid"/>
        </a:ln>
      </spPr>
    </pic>
    <clientData/>
  </twoCellAnchor>
  <twoCellAnchor>
    <from>
      <col>1</col>
      <colOff>0</colOff>
      <row>0</row>
      <rowOff>180975</rowOff>
    </from>
    <to>
      <col>1</col>
      <colOff>1038225</colOff>
      <row>3</row>
      <rowOff>85725</rowOff>
    </to>
    <pic>
      <nvPicPr>
        <cNvPr id="5" name="Εικόνα 1" descr="http://www.uth.gr/images/logos/UTH-logo-greek.jpg"/>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371475" y="180975"/>
          <a:ext cx="1038225" cy="103822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2:E35"/>
  <sheetViews>
    <sheetView tabSelected="1" workbookViewId="0">
      <selection activeCell="C5" sqref="C5"/>
    </sheetView>
  </sheetViews>
  <sheetFormatPr baseColWidth="8" defaultRowHeight="15"/>
  <cols>
    <col width="2.42578125" customWidth="1" min="1" max="1"/>
    <col width="36.28515625" customWidth="1" style="5" min="2" max="2"/>
    <col width="49.85546875" customWidth="1" min="3" max="3"/>
    <col width="4.7109375" customWidth="1" min="4" max="4"/>
  </cols>
  <sheetData>
    <row r="2" ht="59.25" customHeight="1">
      <c r="B2" s="59" t="inlineStr">
        <is>
          <t>Βιβλίο Πρακτικής Άσκησης
Ασκούμενου</t>
        </is>
      </c>
      <c r="D2" s="58" t="inlineStr">
        <is>
          <t>v.2025-04-17</t>
        </is>
      </c>
    </row>
    <row r="5" ht="24" customHeight="1">
      <c r="B5" s="19" t="inlineStr">
        <is>
          <t>Επώνυμο:</t>
        </is>
      </c>
      <c r="C5" s="63" t="inlineStr">
        <is>
          <t>Μελέτση</t>
        </is>
      </c>
    </row>
    <row r="6" ht="24" customHeight="1">
      <c r="B6" s="20" t="inlineStr">
        <is>
          <t>Όνομα:</t>
        </is>
      </c>
      <c r="C6" s="71" t="inlineStr">
        <is>
          <t>Παρασκευή</t>
        </is>
      </c>
    </row>
    <row r="7" ht="24" customHeight="1">
      <c r="B7" s="20" t="inlineStr">
        <is>
          <t>Σχολή:</t>
        </is>
      </c>
      <c r="C7" s="8" t="inlineStr">
        <is>
          <t>Τεχνολογιών Πληροφορικής και Επικοινωνιών</t>
        </is>
      </c>
    </row>
    <row r="8" ht="24" customHeight="1">
      <c r="B8" s="20" t="inlineStr">
        <is>
          <t>Τμήμα:</t>
        </is>
      </c>
      <c r="C8" s="8" t="inlineStr">
        <is>
          <t>Ψηφιακών Συστημάτων</t>
        </is>
      </c>
    </row>
    <row r="9" ht="24" customHeight="1">
      <c r="B9" s="21" t="inlineStr">
        <is>
          <t>Αριθ. Μητρώου:</t>
        </is>
      </c>
      <c r="C9" s="65" t="inlineStr">
        <is>
          <t>3122067</t>
        </is>
      </c>
    </row>
    <row r="10" ht="21.75" customHeight="1">
      <c r="B10" s="2" t="n"/>
    </row>
    <row r="11" ht="22.5" customHeight="1">
      <c r="B11" s="35" t="inlineStr">
        <is>
          <t>Φορέας Απασχόλησης</t>
        </is>
      </c>
      <c r="C11" s="3" t="n"/>
    </row>
    <row r="12" ht="22.5" customHeight="1">
      <c r="A12" s="4" t="n">
        <v>1</v>
      </c>
      <c r="B12" s="148" t="inlineStr">
        <is>
          <t>PricewaterhouseCoopers Business Solutions Α.Ε.</t>
        </is>
      </c>
      <c r="C12" s="149" t="n"/>
      <c r="D12" s="57" t="inlineStr">
        <is>
          <t>επωνυμία</t>
        </is>
      </c>
    </row>
    <row r="13" ht="22.5" customHeight="1">
      <c r="A13" s="4" t="n">
        <v>2</v>
      </c>
      <c r="B13" s="150" t="inlineStr">
        <is>
          <t>Λεωφ. Κηφισίας 268, 152 32 Χαλάνδρι</t>
        </is>
      </c>
      <c r="C13" s="151" t="n"/>
      <c r="D13" s="57" t="inlineStr">
        <is>
          <t>διεύθυνση</t>
        </is>
      </c>
    </row>
    <row r="14" ht="22.5" customHeight="1">
      <c r="A14" s="4" t="n">
        <v>3</v>
      </c>
      <c r="B14" s="152" t="inlineStr">
        <is>
          <t>+30 210 6874400 / pwc.greece@gr.pwc.com</t>
        </is>
      </c>
      <c r="C14" s="153" t="n"/>
      <c r="D14" s="57" t="inlineStr">
        <is>
          <t>τηλέφωνο &amp; email</t>
        </is>
      </c>
    </row>
    <row r="15" ht="22.5" customHeight="1">
      <c r="A15" s="4" t="n"/>
    </row>
    <row r="16" ht="22.5" customHeight="1">
      <c r="A16" s="4" t="n"/>
      <c r="B16" s="37" t="inlineStr">
        <is>
          <t>Επόπτης Απασχ/μενου</t>
        </is>
      </c>
    </row>
    <row r="17" ht="22.5" customHeight="1">
      <c r="A17" s="4" t="n"/>
      <c r="B17" s="38" t="inlineStr">
        <is>
          <t>Ονομ/νυμο:</t>
        </is>
      </c>
      <c r="C17" s="63" t="inlineStr">
        <is>
          <t>Τσίχλης Ηλίας</t>
        </is>
      </c>
    </row>
    <row r="18" ht="22.5" customHeight="1">
      <c r="A18" s="4" t="n"/>
      <c r="B18" s="39" t="inlineStr">
        <is>
          <t>Ιδιότητα:</t>
        </is>
      </c>
      <c r="C18" s="65" t="inlineStr">
        <is>
          <t>Engineering Manager / Staff Engineer</t>
        </is>
      </c>
      <c r="D18" s="33" t="n"/>
    </row>
    <row r="19" ht="28.5" customHeight="1" thickBot="1">
      <c r="B19" s="2" t="n"/>
      <c r="C19" s="154" t="n"/>
    </row>
    <row r="20" ht="26.25" customHeight="1">
      <c r="B20" s="42" t="inlineStr">
        <is>
          <t>Ημ/νία Έναρξης βάσει Σύμβασης:</t>
        </is>
      </c>
      <c r="C20" s="155" t="n">
        <v>46097</v>
      </c>
      <c r="D20" s="57" t="inlineStr">
        <is>
          <t>διαβάστε τα σχόλια του κελιού</t>
        </is>
      </c>
    </row>
    <row r="21" ht="26.25" customHeight="1">
      <c r="B21" s="41" t="inlineStr">
        <is>
          <t>Δευτέρα Εβδομάδας  Έναρξης:</t>
        </is>
      </c>
      <c r="C21" s="156">
        <f>C20-WEEKDAY(C20,2)+1</f>
        <v/>
      </c>
      <c r="D21" s="33" t="n"/>
    </row>
    <row r="22" ht="26.25" customHeight="1">
      <c r="B22" s="41" t="inlineStr">
        <is>
          <t>Διάρκεια Πρακτικής σε Μήνες:</t>
        </is>
      </c>
      <c r="C22" s="55" t="n">
        <v>5.5</v>
      </c>
      <c r="D22" s="33" t="n"/>
    </row>
    <row r="23">
      <c r="B23" s="36" t="inlineStr">
        <is>
          <t>Εκτίμηση ημερών εργασίας:</t>
        </is>
      </c>
      <c r="C23" s="43">
        <f>NETWORKDAYS(C20,C24,holidays)</f>
        <v/>
      </c>
      <c r="D23" s="33" t="n"/>
    </row>
    <row r="24" ht="26.25" customHeight="1" thickBot="1">
      <c r="B24" s="47" t="inlineStr">
        <is>
          <t>Ημ/νία Λήξης βάσει Σύμβασης:</t>
        </is>
      </c>
      <c r="C24" s="157" t="n">
        <v>46265</v>
      </c>
      <c r="D24" s="56">
        <f>C22</f>
        <v/>
      </c>
      <c r="E24" s="57" t="inlineStr">
        <is>
          <t>ημερολογιακοί μήνες</t>
        </is>
      </c>
    </row>
    <row r="25">
      <c r="C25" s="48" t="n"/>
    </row>
    <row r="26">
      <c r="C26" s="48" t="n"/>
    </row>
    <row r="28" ht="15.75" customHeight="1" thickBot="1"/>
    <row r="29" ht="22.5" customHeight="1">
      <c r="B29" s="158" t="inlineStr">
        <is>
          <t>Σύνολο Δηλωμένων 
Ημερών Απασχόλησης</t>
        </is>
      </c>
      <c r="C29" s="159">
        <f>extra!L69</f>
        <v/>
      </c>
    </row>
    <row r="30" ht="22.5" customHeight="1" thickBot="1">
      <c r="B30" s="160" t="n"/>
      <c r="C30" s="161" t="n"/>
    </row>
    <row r="31" ht="25.5" customHeight="1">
      <c r="B31" s="72" t="inlineStr">
        <is>
          <t>Για τις Πρακτικές των πρώην ΤΕΙ, η νομοθεσία απαιτεί 150 ένσημα πρακτικής άσκησης. Κάθε μήνας στις εργάσιμες μέρες του οποίου ο απασχολούμενος ήταν διαθέσιμος για εργασία, δίνει 25 ένσημα (παρά το γεγονός ότι οι εργάσιμες ενός μήνα είναι λιγότερες από 25!). Στο κελί παραπάνω, μετρώνται οι ημέρες πρακτικής άσκησης, με βάση τα δεδομένα στα υπόλοιπα φύλλα. Συνήθως αυτός ο αριθμός είναι γύρω στο 127 (συν πλην 2-3 μέρες) για 6-μηνες Πρακτικές πρώην ΤΕΙ.</t>
        </is>
      </c>
      <c r="C31" s="162" t="n"/>
    </row>
    <row r="32" ht="25.5" customHeight="1"/>
    <row r="33" ht="25.5" customHeight="1"/>
    <row r="35" ht="18" customHeight="1">
      <c r="B35" s="60" t="inlineStr">
        <is>
          <t>- Πανεπιστήμιο Πειραιώς -</t>
        </is>
      </c>
    </row>
  </sheetData>
  <sheetProtection selectLockedCells="1" selectUnlockedCells="0" algorithmName="SHA-512" sheet="1" objects="0" insertRows="1" insertHyperlinks="1" autoFilter="1" scenarios="0" formatColumns="1" deleteColumns="1" insertColumns="1" pivotTables="1" deleteRows="1" formatCells="1" saltValue="z4zGAAddb2188xgw2Qqslg==" formatRows="1" sort="1" spinCount="100000" hashValue="T02f21q3zy9Bdp1npp45cjlDwUCnwbktatHVrdTI8sZT0s5gWHO7atsj21nxdUdUsMBlJUhjAiaJGc/8zLsu5w=="/>
  <mergeCells count="8">
    <mergeCell ref="B13:C13"/>
    <mergeCell ref="B2:C2"/>
    <mergeCell ref="C29:C30"/>
    <mergeCell ref="B14:C14"/>
    <mergeCell ref="B31:C33"/>
    <mergeCell ref="B35:C35"/>
    <mergeCell ref="B29:B30"/>
    <mergeCell ref="B12:C12"/>
  </mergeCells>
  <printOptions horizontalCentered="1"/>
  <pageMargins left="0.24" right="0.35" top="0.7480314960629921" bottom="0.7480314960629921" header="0.3149606299212598" footer="0.3149606299212598"/>
  <pageSetup orientation="portrait" paperSize="9" verticalDpi="599"/>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N78"/>
  <sheetViews>
    <sheetView topLeftCell="A10" workbookViewId="0">
      <selection activeCell="C24" sqref="C24"/>
    </sheetView>
  </sheetViews>
  <sheetFormatPr baseColWidth="8" defaultRowHeight="15"/>
  <cols>
    <col width="1.42578125" customWidth="1" min="1" max="1"/>
    <col width="14.28515625" customWidth="1" style="1" min="2" max="2"/>
    <col width="48.5703125" customWidth="1" min="3" max="3"/>
    <col width="12.140625" customWidth="1" style="1" min="4" max="4"/>
    <col width="2.7109375" customWidth="1" min="5" max="5"/>
    <col width="8" customWidth="1" min="6" max="13"/>
  </cols>
  <sheetData>
    <row r="1" ht="18" customHeight="1">
      <c r="B1" s="74" t="inlineStr">
        <is>
          <t>ΕΒΔΟΜΑΔΙΑΙΟ ΦΥΛΛΟ ΠΡΑΚΤΙΚΗΣ ΑΣΚΗΣΗΣ</t>
        </is>
      </c>
    </row>
    <row r="3" ht="18.75" customHeight="1">
      <c r="B3" s="10" t="inlineStr">
        <is>
          <t>ΕΒΔΟΜΑΔΑ</t>
        </is>
      </c>
      <c r="C3" s="11" t="inlineStr">
        <is>
          <t>από Δευτέρα:</t>
        </is>
      </c>
      <c r="D3" s="32">
        <f>'Στοιχεία Πρακτικής'!C21</f>
        <v/>
      </c>
      <c r="E3" s="163">
        <f>WEEKDAY(D3)</f>
        <v/>
      </c>
    </row>
    <row r="4" ht="18.75" customHeight="1">
      <c r="B4" s="12" t="n">
        <v>1</v>
      </c>
      <c r="C4" s="11" t="inlineStr">
        <is>
          <t>έως Παρασκευή:</t>
        </is>
      </c>
      <c r="D4" s="31">
        <f>D3+4</f>
        <v/>
      </c>
      <c r="E4" s="163">
        <f>WEEKDAY(D4)</f>
        <v/>
      </c>
    </row>
    <row r="6" ht="31.5" customHeight="1">
      <c r="B6" s="13" t="inlineStr">
        <is>
          <t>ΗΜΕΡΑ</t>
        </is>
      </c>
      <c r="C6" s="14" t="inlineStr">
        <is>
          <t>ΠΕΡΙΛΗΨΗ ΕΡΓΑΣΙΩΝ
 ΠΟΥ ΕΚΕΤΕΛΕΣΤΗΚΑΝ</t>
        </is>
      </c>
      <c r="D6" s="13" t="inlineStr">
        <is>
          <t>ΩΡΕΣ</t>
        </is>
      </c>
      <c r="F6" s="77" t="inlineStr">
        <is>
          <t>ΕΒΔΟΜΑΔΙΑΙΕΣ ΣΗΜΕΙΩΣΕΙΣ - ΠΑΡΑΤΗΡΗΣΕΙΣ ΑΣΚΟΥΜΕΝΟΥ</t>
        </is>
      </c>
      <c r="G6" s="164" t="n"/>
      <c r="H6" s="164" t="n"/>
      <c r="I6" s="164" t="n"/>
      <c r="J6" s="164" t="n"/>
      <c r="K6" s="164" t="n"/>
      <c r="L6" s="164" t="n"/>
      <c r="M6" s="165" t="n"/>
    </row>
    <row r="7" ht="76.5" customHeight="1">
      <c r="B7" s="24">
        <f>D3</f>
        <v/>
      </c>
      <c r="C7" s="22" t="inlineStr">
        <is>
          <t>Καλωσόρισμα στα γραφεία της PwC στην Αθήνα. Παροχή εξοπλισμού.</t>
        </is>
      </c>
      <c r="D7" s="26" t="n">
        <v>8</v>
      </c>
      <c r="F7" s="166" t="n"/>
      <c r="G7" s="167" t="n"/>
      <c r="H7" s="167" t="n"/>
      <c r="I7" s="167" t="n"/>
      <c r="J7" s="167" t="n"/>
      <c r="K7" s="167" t="n"/>
      <c r="L7" s="167" t="n"/>
      <c r="M7" s="149" t="n"/>
    </row>
    <row r="8" ht="76.5" customHeight="1">
      <c r="B8" s="24">
        <f>B7+1</f>
        <v/>
      </c>
      <c r="C8" s="22" t="inlineStr">
        <is>
          <t>Δεύτερη μέρα στα γραφεία της PwC. Συνάντηση με την ομάδα, Manager και Senior Software Engineer.</t>
        </is>
      </c>
      <c r="D8" s="26" t="n">
        <v>8</v>
      </c>
      <c r="F8" s="168" t="n"/>
      <c r="G8" s="169" t="n"/>
      <c r="H8" s="169" t="n"/>
      <c r="I8" s="169" t="n"/>
      <c r="J8" s="169" t="n"/>
      <c r="K8" s="169" t="n"/>
      <c r="L8" s="169" t="n"/>
      <c r="M8" s="153" t="n"/>
    </row>
    <row r="9" ht="76.5" customHeight="1">
      <c r="B9" s="24">
        <f>B8+1</f>
        <v/>
      </c>
      <c r="C9" s="22" t="inlineStr">
        <is>
          <t>Remote εργασία. Πέρασα τις αποδείξεις ως εξοδολόγια με τη βοήθεια του senior — μου εξήγησε πώς θα δουλεύω και με ποιες εφαρμογές.</t>
        </is>
      </c>
      <c r="D9" s="26" t="n">
        <v>8</v>
      </c>
      <c r="F9" s="170" t="inlineStr">
        <is>
          <t>Είχα ένα θερμό καλωσόρισμα από την ομάδα και την εταιρεία. Μου εξήγησαν αναλυτικά τι πρέπει να κάνω και με βοήθησαν να προσαρμοστώ. Έκανα μια αρχή σε βάση δεδομένων — εκπαιδευτικό, όχι πραγματικό έργο.</t>
        </is>
      </c>
      <c r="G9" s="171" t="n"/>
      <c r="H9" s="171" t="n"/>
      <c r="I9" s="171" t="n"/>
      <c r="J9" s="171" t="n"/>
      <c r="K9" s="171" t="n"/>
      <c r="L9" s="171" t="n"/>
      <c r="M9" s="172" t="n"/>
    </row>
    <row r="10" ht="76.5" customHeight="1">
      <c r="B10" s="24">
        <f>B9+1</f>
        <v/>
      </c>
      <c r="C10" s="22" t="inlineStr">
        <is>
          <t>2 υποχρεωτικά online courses σχετικά με την εταιρεία και τις αρμοδιότητές μου (εκπαίδευση κανόνων και προσαρμογής). Εβδομαδιαίο meeting με την ομάδα του .NET.</t>
        </is>
      </c>
      <c r="D10" s="26" t="n">
        <v>8</v>
      </c>
      <c r="F10" s="173" t="n"/>
      <c r="M10" s="174" t="n"/>
    </row>
    <row r="11" ht="76.5" customHeight="1">
      <c r="B11" s="27">
        <f>B10+1</f>
        <v/>
      </c>
      <c r="C11" s="23" t="inlineStr">
        <is>
          <t>Visual Studio Subscription. GitHub Enterprise Cloud — ticket form Hub. SQL courses και σχεδιασμός βάσης δεδομένων για εκπαιδευτικό έργο σχολείων Αττικής (μη πραγματικό έργο).</t>
        </is>
      </c>
      <c r="D11" s="29" t="n">
        <v>8</v>
      </c>
      <c r="F11" s="175" t="n"/>
      <c r="G11" s="176" t="n"/>
      <c r="H11" s="176" t="n"/>
      <c r="I11" s="176" t="n"/>
      <c r="J11" s="176" t="n"/>
      <c r="K11" s="176" t="n"/>
      <c r="L11" s="176" t="n"/>
      <c r="M11" s="177" t="n"/>
    </row>
    <row r="12" ht="19.5" customHeight="1">
      <c r="C12" s="15" t="inlineStr">
        <is>
          <t>Σύνολο Εβδομαδιαίων Ωρών:</t>
        </is>
      </c>
      <c r="D12" s="16">
        <f>SUM(D7:D11)</f>
        <v/>
      </c>
    </row>
    <row r="13" ht="19.5" customHeight="1">
      <c r="C13" s="15" t="inlineStr">
        <is>
          <t>Ημέρες Εργασίας Εβδομάδας:</t>
        </is>
      </c>
      <c r="D13" s="16">
        <f>COUNTA(D7:D11)</f>
        <v/>
      </c>
      <c r="K13" s="17" t="inlineStr">
        <is>
          <t>Σύνολο Εργάσιμων Ημερών:</t>
        </is>
      </c>
      <c r="L13" s="18">
        <f>D13</f>
        <v/>
      </c>
    </row>
    <row r="14">
      <c r="N14" s="1" t="n"/>
    </row>
    <row r="15" ht="18" customHeight="1">
      <c r="B15" s="74" t="inlineStr">
        <is>
          <t>ΕΒΔΟΜΑΔΙΑΙΟ ΦΥΛΛΟ ΠΡΑΚΤΙΚΗΣ ΑΣΚΗΣΗΣ</t>
        </is>
      </c>
    </row>
    <row r="17" ht="18.75" customHeight="1">
      <c r="B17" s="10" t="inlineStr">
        <is>
          <t>ΕΒΔΟΜΑΔΑ</t>
        </is>
      </c>
      <c r="C17" s="11" t="inlineStr">
        <is>
          <t>από Δευτέρα:</t>
        </is>
      </c>
      <c r="D17" s="32">
        <f>D3+7</f>
        <v/>
      </c>
      <c r="E17" s="178">
        <f>D17</f>
        <v/>
      </c>
    </row>
    <row r="18" ht="18.75" customHeight="1">
      <c r="B18" s="12">
        <f>B4+1</f>
        <v/>
      </c>
      <c r="C18" s="11" t="inlineStr">
        <is>
          <t>έως Παρασκευή:</t>
        </is>
      </c>
      <c r="D18" s="31">
        <f>D17+4</f>
        <v/>
      </c>
      <c r="E18" s="178">
        <f>D18</f>
        <v/>
      </c>
    </row>
    <row r="20" ht="31.5" customHeight="1">
      <c r="B20" s="13" t="inlineStr">
        <is>
          <t>ΗΜΕΡΑ</t>
        </is>
      </c>
      <c r="C20" s="14" t="inlineStr">
        <is>
          <t>ΠΕΡΙΛΗΨΗ ΕΡΓΑΣΙΩΝ
 ΠΟΥ ΕΚΕΤΕΛΕΣΤΗΚΑΝ</t>
        </is>
      </c>
      <c r="D20" s="13" t="inlineStr">
        <is>
          <t>ΩΡΕΣ</t>
        </is>
      </c>
      <c r="F20" s="77" t="inlineStr">
        <is>
          <t>ΕΒΔΟΜΑΔΙΑΙΕΣ ΣΗΜΕΙΩΣΕΙΣ - ΠΑΡΑΤΗΡΗΣΕΙΣ ΑΣΚΟΥΜΕΝΟΥ</t>
        </is>
      </c>
      <c r="G20" s="164" t="n"/>
      <c r="H20" s="164" t="n"/>
      <c r="I20" s="164" t="n"/>
      <c r="J20" s="164" t="n"/>
      <c r="K20" s="164" t="n"/>
      <c r="L20" s="164" t="n"/>
      <c r="M20" s="165" t="n"/>
    </row>
    <row r="21" ht="76.5" customHeight="1">
      <c r="B21" s="24">
        <f>D17</f>
        <v/>
      </c>
      <c r="C21" s="22" t="inlineStr">
        <is>
          <t>Meeting με τον manager. Meeting με την ομάδα για απορίες. Συνέχεια της βάσης δεδομένων από την προηγούμενη εβδομάδα.</t>
        </is>
      </c>
      <c r="D21" s="26" t="n">
        <v>8</v>
      </c>
      <c r="F21" s="179" t="n"/>
      <c r="G21" s="167" t="n"/>
      <c r="H21" s="167" t="n"/>
      <c r="I21" s="167" t="n"/>
      <c r="J21" s="167" t="n"/>
      <c r="K21" s="167" t="n"/>
      <c r="L21" s="167" t="n"/>
      <c r="M21" s="149" t="n"/>
    </row>
    <row r="22" ht="76.5" customHeight="1">
      <c r="B22" s="24">
        <f>B21+1</f>
        <v/>
      </c>
      <c r="C22" s="22" t="inlineStr">
        <is>
          <t>Online eLearn με το HC. Cloud Platforms Interns sync — αναφορά εργασιών προηγούμενων ημερών. Διόρθωση βάσης δεδομένων μετά από συζήτηση με senior και manager.</t>
        </is>
      </c>
      <c r="D22" s="26" t="n">
        <v>8</v>
      </c>
      <c r="F22" s="168" t="n"/>
      <c r="G22" s="169" t="n"/>
      <c r="H22" s="169" t="n"/>
      <c r="I22" s="169" t="n"/>
      <c r="J22" s="169" t="n"/>
      <c r="K22" s="169" t="n"/>
      <c r="L22" s="169" t="n"/>
      <c r="M22" s="153" t="n"/>
    </row>
    <row r="23" ht="76.5" customHeight="1">
      <c r="B23" s="24">
        <f>B22+1</f>
        <v/>
      </c>
      <c r="C23" s="22" t="inlineStr">
        <is>
          <t>Αργία — 25η Μαρτίου (Εθνική Εορτή).</t>
        </is>
      </c>
      <c r="D23" s="26" t="n"/>
      <c r="F23" s="180" t="inlineStr">
        <is>
          <t>Όλα εξελίσσονται ομαλά και ευχάριστα και συνεχίζω ό,τι μου είχε ανατεθεί.</t>
        </is>
      </c>
      <c r="G23" s="171" t="n"/>
      <c r="H23" s="171" t="n"/>
      <c r="I23" s="171" t="n"/>
      <c r="J23" s="171" t="n"/>
      <c r="K23" s="171" t="n"/>
      <c r="L23" s="171" t="n"/>
      <c r="M23" s="172" t="n"/>
    </row>
    <row r="24" ht="76.5" customHeight="1">
      <c r="B24" s="24">
        <f>B23+1</f>
        <v/>
      </c>
      <c r="C24" s="22" t="inlineStr">
        <is>
          <t>Meeting team .NET. Τελική διόρθωση και ολοκλήρωση του διαγράμματος ERD. Έναρξη δημιουργίας πινάκων σε MySQL / SQL Studio.</t>
        </is>
      </c>
      <c r="D24" s="26" t="n">
        <v>8</v>
      </c>
      <c r="F24" s="173" t="n"/>
      <c r="M24" s="174" t="n"/>
    </row>
    <row r="25" ht="76.5" customHeight="1">
      <c r="B25" s="27">
        <f>B24+1</f>
        <v/>
      </c>
      <c r="C25" s="23" t="inlineStr">
        <is>
          <t>Meeting team sync. Συνέχεια SQL και δημιουργία tickets στο IT για πρόσβαση σε εφαρμογές που θα χρειαστούν αργότερα.</t>
        </is>
      </c>
      <c r="D25" s="29" t="n">
        <v>8</v>
      </c>
      <c r="F25" s="175" t="n"/>
      <c r="G25" s="176" t="n"/>
      <c r="H25" s="176" t="n"/>
      <c r="I25" s="176" t="n"/>
      <c r="J25" s="176" t="n"/>
      <c r="K25" s="176" t="n"/>
      <c r="L25" s="176" t="n"/>
      <c r="M25" s="177" t="n"/>
    </row>
    <row r="26" ht="19.5" customHeight="1">
      <c r="C26" s="15" t="inlineStr">
        <is>
          <t>Σύνολο Εβδομαδιαίων Ωρών:</t>
        </is>
      </c>
      <c r="D26" s="16">
        <f>SUM(D21:D25)</f>
        <v/>
      </c>
    </row>
    <row r="27" ht="19.5" customHeight="1">
      <c r="C27" s="15" t="inlineStr">
        <is>
          <t>Ημέρες Εργασίας Εβδομάδας:</t>
        </is>
      </c>
      <c r="D27" s="16">
        <f>COUNTA(D21:D25)</f>
        <v/>
      </c>
      <c r="K27" s="17" t="inlineStr">
        <is>
          <t>Σύνολο Εργάσιμων Ημερών:</t>
        </is>
      </c>
      <c r="L27" s="18">
        <f>D27+L13</f>
        <v/>
      </c>
    </row>
    <row r="29" ht="18" customHeight="1">
      <c r="B29" s="74" t="inlineStr">
        <is>
          <t>ΕΒΔΟΜΑΔΙΑΙΟ ΦΥΛΛΟ ΠΡΑΚΤΙΚΗΣ ΑΣΚΗΣΗΣ</t>
        </is>
      </c>
    </row>
    <row r="31" ht="18.75" customHeight="1">
      <c r="B31" s="10" t="inlineStr">
        <is>
          <t>ΕΒΔΟΜΑΔΑ</t>
        </is>
      </c>
      <c r="C31" s="11" t="inlineStr">
        <is>
          <t>από Δευτέρα:</t>
        </is>
      </c>
      <c r="D31" s="32">
        <f>D17+7</f>
        <v/>
      </c>
      <c r="E31" s="178">
        <f>D31</f>
        <v/>
      </c>
    </row>
    <row r="32" ht="18.75" customHeight="1">
      <c r="B32" s="12">
        <f>B18+1</f>
        <v/>
      </c>
      <c r="C32" s="11" t="inlineStr">
        <is>
          <t>έως Παρασκευή:</t>
        </is>
      </c>
      <c r="D32" s="31">
        <f>D31+4</f>
        <v/>
      </c>
      <c r="E32" s="178">
        <f>D32</f>
        <v/>
      </c>
    </row>
    <row r="34" ht="31.5" customHeight="1">
      <c r="B34" s="13" t="inlineStr">
        <is>
          <t>ΗΜΕΡΑ</t>
        </is>
      </c>
      <c r="C34" s="14" t="inlineStr">
        <is>
          <t>ΠΕΡΙΛΗΨΗ ΕΡΓΑΣΙΩΝ
 ΠΟΥ ΕΚΕΤΕΛΕΣΤΗΚΑΝ</t>
        </is>
      </c>
      <c r="D34" s="13" t="inlineStr">
        <is>
          <t>ΩΡΕΣ</t>
        </is>
      </c>
      <c r="F34" s="77" t="inlineStr">
        <is>
          <t>ΕΒΔΟΜΑΔΙΑΙΕΣ ΣΗΜΕΙΩΣΕΙΣ - ΠΑΡΑΤΗΡΗΣΕΙΣ ΑΣΚΟΥΜΕΝΟΥ</t>
        </is>
      </c>
      <c r="G34" s="164" t="n"/>
      <c r="H34" s="164" t="n"/>
      <c r="I34" s="164" t="n"/>
      <c r="J34" s="164" t="n"/>
      <c r="K34" s="164" t="n"/>
      <c r="L34" s="164" t="n"/>
      <c r="M34" s="165" t="n"/>
    </row>
    <row r="35" ht="76.5" customHeight="1">
      <c r="B35" s="24">
        <f>D31</f>
        <v/>
      </c>
      <c r="C35" s="25" t="inlineStr">
        <is>
          <t>Meeting team. Meeting με τον manager. Συνέχεια SQL — ολοκλήρωση πινάκων και αποστολή στον senior για διόρθωση. Παρακολούθηση courses για React.</t>
        </is>
      </c>
      <c r="D35" s="26" t="n">
        <v>8</v>
      </c>
      <c r="F35" s="179" t="n"/>
      <c r="G35" s="167" t="n"/>
      <c r="H35" s="167" t="n"/>
      <c r="I35" s="167" t="n"/>
      <c r="J35" s="167" t="n"/>
      <c r="K35" s="167" t="n"/>
      <c r="L35" s="167" t="n"/>
      <c r="M35" s="149" t="n"/>
    </row>
    <row r="36" ht="76.5" customHeight="1">
      <c r="B36" s="24">
        <f>B35+1</f>
        <v/>
      </c>
      <c r="C36" s="25" t="inlineStr">
        <is>
          <t>Internship program meeting. Online courses από Udemy (React, frontend &amp; backend) — υπόδειξη του manager.</t>
        </is>
      </c>
      <c r="D36" s="26" t="n">
        <v>8</v>
      </c>
      <c r="F36" s="168" t="n"/>
      <c r="G36" s="169" t="n"/>
      <c r="H36" s="169" t="n"/>
      <c r="I36" s="169" t="n"/>
      <c r="J36" s="169" t="n"/>
      <c r="K36" s="169" t="n"/>
      <c r="L36" s="169" t="n"/>
      <c r="M36" s="153" t="n"/>
    </row>
    <row r="37" ht="76.5" customHeight="1">
      <c r="B37" s="24">
        <f>B36+1</f>
        <v/>
      </c>
      <c r="C37" s="25" t="inlineStr">
        <is>
          <t>Meeting with team. Συνέχεια SQL: διόρθωση πινάκων μετά από παρατηρήσεις του senior. Ολοκλήρωση Database Assessment Part 1. Έναρξη Part 2 (25 queries σε Sakila DB) — κατέβασα τη βάση, την έτρεξα με τις οδηγίες και άρχισα να δημιουργώ τα queries.</t>
        </is>
      </c>
      <c r="D37" s="26" t="n">
        <v>8</v>
      </c>
      <c r="F37" s="180" t="inlineStr">
        <is>
          <t>Επικεντρώθηκα στην Database Assessment ώστε να την ολοκληρώσω. Part 1: ERD διάγραμμα και δημιουργία πινάκων σε MySQL. Part 2: Sakila database — απάντηση σε 25 queries.</t>
        </is>
      </c>
      <c r="G37" s="171" t="n"/>
      <c r="H37" s="171" t="n"/>
      <c r="I37" s="171" t="n"/>
      <c r="J37" s="171" t="n"/>
      <c r="K37" s="171" t="n"/>
      <c r="L37" s="171" t="n"/>
      <c r="M37" s="172" t="n"/>
    </row>
    <row r="38" ht="76.5" customHeight="1">
      <c r="B38" s="24">
        <f>B37+1</f>
        <v/>
      </c>
      <c r="C38" s="25" t="inlineStr">
        <is>
          <t>Meeting with team .NET. Συνέχεια του Part 2 της Database Assessment. Διόρθωση Part 1 μετά τις παρατηρήσεις του senior.</t>
        </is>
      </c>
      <c r="D38" s="26" t="n">
        <v>8</v>
      </c>
      <c r="F38" s="173" t="n"/>
      <c r="M38" s="174" t="n"/>
    </row>
    <row r="39" ht="76.5" customHeight="1">
      <c r="B39" s="27">
        <f>B38+1</f>
        <v/>
      </c>
      <c r="C39" s="28" t="inlineStr">
        <is>
          <t>Meeting with team. Συνέχεια Database Assessment Part 2. 2-ωρο ενημερωτικό meeting call με την εταιρεία.</t>
        </is>
      </c>
      <c r="D39" s="29" t="n">
        <v>8</v>
      </c>
      <c r="F39" s="175" t="n"/>
      <c r="G39" s="176" t="n"/>
      <c r="H39" s="176" t="n"/>
      <c r="I39" s="176" t="n"/>
      <c r="J39" s="176" t="n"/>
      <c r="K39" s="176" t="n"/>
      <c r="L39" s="176" t="n"/>
      <c r="M39" s="177" t="n"/>
    </row>
    <row r="40" ht="19.5" customHeight="1">
      <c r="C40" s="15" t="inlineStr">
        <is>
          <t>Σύνολο Εβδομαδιαίων Ωρών:</t>
        </is>
      </c>
      <c r="D40" s="16">
        <f>SUM(D35:D39)</f>
        <v/>
      </c>
    </row>
    <row r="41" ht="19.5" customHeight="1">
      <c r="C41" s="15" t="inlineStr">
        <is>
          <t>Ημέρες Εργασίας Εβδομάδας:</t>
        </is>
      </c>
      <c r="D41" s="16">
        <f>COUNTA(D35:D39)</f>
        <v/>
      </c>
      <c r="K41" s="17" t="inlineStr">
        <is>
          <t>Σύνολο Εργάσιμων Ημερών:</t>
        </is>
      </c>
      <c r="L41" s="18">
        <f>D41+L27</f>
        <v/>
      </c>
    </row>
    <row r="43" ht="18" customHeight="1">
      <c r="B43" s="74" t="inlineStr">
        <is>
          <t>ΕΒΔΟΜΑΔΙΑΙΟ ΦΥΛΛΟ ΠΡΑΚΤΙΚΗΣ ΑΣΚΗΣΗΣ</t>
        </is>
      </c>
    </row>
    <row r="45" ht="18.75" customHeight="1">
      <c r="B45" s="10" t="inlineStr">
        <is>
          <t>ΕΒΔΟΜΑΔΑ</t>
        </is>
      </c>
      <c r="C45" s="11" t="inlineStr">
        <is>
          <t>από Δευτέρα:</t>
        </is>
      </c>
      <c r="D45" s="32">
        <f>D31+7</f>
        <v/>
      </c>
      <c r="E45" s="178">
        <f>D45</f>
        <v/>
      </c>
    </row>
    <row r="46" ht="18.75" customHeight="1">
      <c r="B46" s="12">
        <f>B32+1</f>
        <v/>
      </c>
      <c r="C46" s="11" t="inlineStr">
        <is>
          <t>έως Παρασκευή:</t>
        </is>
      </c>
      <c r="D46" s="31">
        <f>D45+4</f>
        <v/>
      </c>
      <c r="E46" s="178">
        <f>D46</f>
        <v/>
      </c>
    </row>
    <row r="48" ht="31.5" customHeight="1">
      <c r="B48" s="13" t="inlineStr">
        <is>
          <t>ΗΜΕΡΑ</t>
        </is>
      </c>
      <c r="C48" s="14" t="inlineStr">
        <is>
          <t>ΠΕΡΙΛΗΨΗ ΕΡΓΑΣΙΩΝ
 ΠΟΥ ΕΚΕΤΕΛΕΣΤΗΚΑΝ</t>
        </is>
      </c>
      <c r="D48" s="13" t="inlineStr">
        <is>
          <t>ΩΡΕΣ</t>
        </is>
      </c>
      <c r="F48" s="77" t="inlineStr">
        <is>
          <t>ΕΒΔΟΜΑΔΙΑΙΕΣ ΣΗΜΕΙΩΣΕΙΣ - ΠΑΡΑΤΗΡΗΣΕΙΣ ΑΣΚΟΥΜΕΝΟΥ</t>
        </is>
      </c>
      <c r="G48" s="164" t="n"/>
      <c r="H48" s="164" t="n"/>
      <c r="I48" s="164" t="n"/>
      <c r="J48" s="164" t="n"/>
      <c r="K48" s="164" t="n"/>
      <c r="L48" s="164" t="n"/>
      <c r="M48" s="165" t="n"/>
    </row>
    <row r="49" ht="76.5" customHeight="1">
      <c r="B49" s="24">
        <f>D45</f>
        <v/>
      </c>
      <c r="C49" s="25" t="inlineStr">
        <is>
          <t>Meeting with team. Παράδοση Part 2 της Database Assessment στον senior για παρατηρήσεις. React courses.</t>
        </is>
      </c>
      <c r="D49" s="26" t="n">
        <v>8</v>
      </c>
      <c r="F49" s="179" t="n"/>
      <c r="G49" s="167" t="n"/>
      <c r="H49" s="167" t="n"/>
      <c r="I49" s="167" t="n"/>
      <c r="J49" s="167" t="n"/>
      <c r="K49" s="167" t="n"/>
      <c r="L49" s="167" t="n"/>
      <c r="M49" s="149" t="n"/>
    </row>
    <row r="50" ht="76.5" customHeight="1">
      <c r="B50" s="24">
        <f>B49+1</f>
        <v/>
      </c>
      <c r="C50" s="25" t="inlineStr">
        <is>
          <t>Meeting with manager. Cloud platform internship. Διορθώσεις στο Part 2 → ολοκλήρωση της Database Assessment.</t>
        </is>
      </c>
      <c r="D50" s="26" t="n">
        <v>8</v>
      </c>
      <c r="F50" s="168" t="n"/>
      <c r="G50" s="169" t="n"/>
      <c r="H50" s="169" t="n"/>
      <c r="I50" s="169" t="n"/>
      <c r="J50" s="169" t="n"/>
      <c r="K50" s="169" t="n"/>
      <c r="L50" s="169" t="n"/>
      <c r="M50" s="153" t="n"/>
    </row>
    <row r="51" ht="76.5" customHeight="1">
      <c r="B51" s="24">
        <f>B50+1</f>
        <v/>
      </c>
      <c r="C51" s="25" t="inlineStr">
        <is>
          <t>Meeting with team &amp; .NET. Παρακολούθηση υποχρεωτικών AI courses (1/3).</t>
        </is>
      </c>
      <c r="D51" s="26" t="n">
        <v>8</v>
      </c>
      <c r="F51" s="180" t="inlineStr">
        <is>
          <t>Ολοκλήρωση της Database Assessment. Παρακολούθηση courses (AI &amp; React).</t>
        </is>
      </c>
      <c r="G51" s="171" t="n"/>
      <c r="H51" s="171" t="n"/>
      <c r="I51" s="171" t="n"/>
      <c r="J51" s="171" t="n"/>
      <c r="K51" s="171" t="n"/>
      <c r="L51" s="171" t="n"/>
      <c r="M51" s="172" t="n"/>
    </row>
    <row r="52" ht="76.5" customHeight="1">
      <c r="B52" s="24">
        <f>B51+1</f>
        <v/>
      </c>
      <c r="C52" s="25" t="inlineStr">
        <is>
          <t>Εταιρεία κλειστή λόγω Πάσχα (Μεγάλη Πέμπτη).</t>
        </is>
      </c>
      <c r="D52" s="26" t="n"/>
      <c r="F52" s="173" t="n"/>
      <c r="M52" s="174" t="n"/>
    </row>
    <row r="53" ht="76.5" customHeight="1">
      <c r="B53" s="27">
        <f>B52+1</f>
        <v/>
      </c>
      <c r="C53" s="28" t="inlineStr">
        <is>
          <t>Αργία — Μεγάλη Παρασκευή.</t>
        </is>
      </c>
      <c r="D53" s="29" t="n"/>
      <c r="F53" s="175" t="n"/>
      <c r="G53" s="176" t="n"/>
      <c r="H53" s="176" t="n"/>
      <c r="I53" s="176" t="n"/>
      <c r="J53" s="176" t="n"/>
      <c r="K53" s="176" t="n"/>
      <c r="L53" s="176" t="n"/>
      <c r="M53" s="177" t="n"/>
    </row>
    <row r="54" ht="19.5" customHeight="1">
      <c r="C54" s="15" t="inlineStr">
        <is>
          <t>Σύνολο Εβδομαδιαίων Ωρών:</t>
        </is>
      </c>
      <c r="D54" s="16">
        <f>SUM(D49:D53)</f>
        <v/>
      </c>
    </row>
    <row r="55" ht="19.5" customHeight="1">
      <c r="C55" s="15" t="inlineStr">
        <is>
          <t>Ημέρες Εργασίας Εβδομάδας:</t>
        </is>
      </c>
      <c r="D55" s="16">
        <f>COUNTA(D49:D53)</f>
        <v/>
      </c>
      <c r="K55" s="17" t="inlineStr">
        <is>
          <t>Σύνολο Εργάσιμων Ημερών:</t>
        </is>
      </c>
      <c r="L55" s="18">
        <f>D55+L41</f>
        <v/>
      </c>
    </row>
    <row r="57" ht="18" customHeight="1">
      <c r="B57" s="74" t="inlineStr">
        <is>
          <t>ΕΒΔΟΜΑΔΙΑΙΟ ΦΥΛΛΟ ΠΡΑΚΤΙΚΗΣ ΑΣΚΗΣΗΣ</t>
        </is>
      </c>
    </row>
    <row r="59" ht="18.75" customHeight="1">
      <c r="B59" s="10" t="inlineStr">
        <is>
          <t>ΕΒΔΟΜΑΔΑ</t>
        </is>
      </c>
      <c r="C59" s="11" t="inlineStr">
        <is>
          <t>από Δευτέρα:</t>
        </is>
      </c>
      <c r="D59" s="32">
        <f>D45+7</f>
        <v/>
      </c>
      <c r="E59" s="178">
        <f>D59</f>
        <v/>
      </c>
    </row>
    <row r="60" ht="18.75" customHeight="1">
      <c r="B60" s="12">
        <f>B46+1</f>
        <v/>
      </c>
      <c r="C60" s="11" t="inlineStr">
        <is>
          <t>έως Παρασκευή:</t>
        </is>
      </c>
      <c r="D60" s="31">
        <f>D59+4</f>
        <v/>
      </c>
      <c r="E60" s="178">
        <f>D60</f>
        <v/>
      </c>
    </row>
    <row r="62" ht="31.5" customHeight="1">
      <c r="B62" s="13" t="inlineStr">
        <is>
          <t>ΗΜΕΡΑ</t>
        </is>
      </c>
      <c r="C62" s="14" t="inlineStr">
        <is>
          <t>ΠΕΡΙΛΗΨΗ ΕΡΓΑΣΙΩΝ
 ΠΟΥ ΕΚΕΤΕΛΕΣΤΗΚΑΝ</t>
        </is>
      </c>
      <c r="D62" s="13" t="inlineStr">
        <is>
          <t>ΩΡΕΣ</t>
        </is>
      </c>
      <c r="F62" s="77" t="inlineStr">
        <is>
          <t>ΕΒΔΟΜΑΔΙΑΙΕΣ ΣΗΜΕΙΩΣΕΙΣ - ΠΑΡΑΤΗΡΗΣΕΙΣ ΑΣΚΟΥΜΕΝΟΥ</t>
        </is>
      </c>
      <c r="G62" s="164" t="n"/>
      <c r="H62" s="164" t="n"/>
      <c r="I62" s="164" t="n"/>
      <c r="J62" s="164" t="n"/>
      <c r="K62" s="164" t="n"/>
      <c r="L62" s="164" t="n"/>
      <c r="M62" s="165" t="n"/>
    </row>
    <row r="63" ht="76.5" customHeight="1">
      <c r="B63" s="24">
        <f>D59</f>
        <v/>
      </c>
      <c r="C63" s="25" t="inlineStr">
        <is>
          <t>Αργία — Δευτέρα του Πάσχα.</t>
        </is>
      </c>
      <c r="D63" s="26" t="n"/>
      <c r="F63" s="179" t="n"/>
      <c r="G63" s="167" t="n"/>
      <c r="H63" s="167" t="n"/>
      <c r="I63" s="167" t="n"/>
      <c r="J63" s="167" t="n"/>
      <c r="K63" s="167" t="n"/>
      <c r="L63" s="167" t="n"/>
      <c r="M63" s="149" t="n"/>
    </row>
    <row r="64" ht="76.5" customHeight="1">
      <c r="B64" s="24">
        <f>B63+1</f>
        <v/>
      </c>
      <c r="C64" s="25" t="inlineStr">
        <is>
          <t>Εταιρεία κλειστή λόγω Πάσχα.</t>
        </is>
      </c>
      <c r="D64" s="26" t="n"/>
      <c r="F64" s="168" t="n"/>
      <c r="G64" s="169" t="n"/>
      <c r="H64" s="169" t="n"/>
      <c r="I64" s="169" t="n"/>
      <c r="J64" s="169" t="n"/>
      <c r="K64" s="169" t="n"/>
      <c r="L64" s="169" t="n"/>
      <c r="M64" s="153" t="n"/>
    </row>
    <row r="65" ht="76.5" customHeight="1">
      <c r="B65" s="24">
        <f>B64+1</f>
        <v/>
      </c>
      <c r="C65" s="25" t="inlineStr">
        <is>
          <t>Meeting with team. Παρακολούθηση των υπολοίπων AI courses (3/3) και συνέχεια των React courses στο Udemy.</t>
        </is>
      </c>
      <c r="D65" s="26" t="n">
        <v>8</v>
      </c>
      <c r="F65" s="180" t="inlineStr">
        <is>
          <t>Ήταν μια εβδομάδα με αρκετό διάβασμα και πολλές πληροφορίες για AI και React.</t>
        </is>
      </c>
      <c r="G65" s="171" t="n"/>
      <c r="H65" s="171" t="n"/>
      <c r="I65" s="171" t="n"/>
      <c r="J65" s="171" t="n"/>
      <c r="K65" s="171" t="n"/>
      <c r="L65" s="171" t="n"/>
      <c r="M65" s="172" t="n"/>
    </row>
    <row r="66" ht="76.5" customHeight="1">
      <c r="B66" s="24">
        <f>B65+1</f>
        <v/>
      </c>
      <c r="C66" s="25" t="inlineStr">
        <is>
          <t>Meeting with team &amp; .NET. Παρακολούθηση courses for React.</t>
        </is>
      </c>
      <c r="D66" s="26" t="n">
        <v>8</v>
      </c>
      <c r="F66" s="173" t="n"/>
      <c r="M66" s="174" t="n"/>
    </row>
    <row r="67" ht="76.5" customHeight="1">
      <c r="B67" s="27">
        <f>B66+1</f>
        <v/>
      </c>
      <c r="C67" s="28" t="inlineStr">
        <is>
          <t>Meeting with team. Παρακολούθηση courses for React.</t>
        </is>
      </c>
      <c r="D67" s="29" t="n">
        <v>8</v>
      </c>
      <c r="F67" s="175" t="n"/>
      <c r="G67" s="176" t="n"/>
      <c r="H67" s="176" t="n"/>
      <c r="I67" s="176" t="n"/>
      <c r="J67" s="176" t="n"/>
      <c r="K67" s="176" t="n"/>
      <c r="L67" s="176" t="n"/>
      <c r="M67" s="177" t="n"/>
    </row>
    <row r="68" ht="19.5" customHeight="1">
      <c r="C68" s="15" t="inlineStr">
        <is>
          <t>Σύνολο Εβδομαδιαίων Ωρών:</t>
        </is>
      </c>
      <c r="D68" s="16">
        <f>SUM(D63:D67)</f>
        <v/>
      </c>
    </row>
    <row r="69" ht="19.5" customHeight="1">
      <c r="C69" s="15" t="inlineStr">
        <is>
          <t>Ημέρες Εργασίας Εβδομάδας:</t>
        </is>
      </c>
      <c r="D69" s="16">
        <f>COUNTA(D63:D67)</f>
        <v/>
      </c>
      <c r="K69" s="17" t="inlineStr">
        <is>
          <t>Σύνολο Εργάσιμων Ημερών:</t>
        </is>
      </c>
      <c r="L69" s="18">
        <f>D69+L55</f>
        <v/>
      </c>
    </row>
    <row r="73" ht="16.5" customHeight="1">
      <c r="B73" s="181" t="inlineStr">
        <is>
          <t>ΜΗΝΙΑΙΑ ΕΚΘΕΣΗ ΕΡΓΑΣΙΑΚΩΝ ΕΜΠΕΙΡΙΩΝ ΑΣΚΟΥΜΕΝΟΥ</t>
        </is>
      </c>
      <c r="C73" s="164" t="n"/>
      <c r="D73" s="165" t="n"/>
    </row>
    <row r="74" ht="150" customHeight="1">
      <c r="B74" s="166" t="inlineStr">
        <is>
          <t>Είχα μια ομαλή και ευχάριστη προσαρμογή στην εταιρεία με πολλή καθοδήγηση και υποστήριξη από την ομάδα. Σε αυτόν τον μήνα ολοκλήρωσα το πρώτο training, που ήταν μια Database Assessment για σχολεία της Αττικής. Παρακολούθησα κάποια courses σχετικά με τη React (frontend &amp; backend) αλλά και κάποια courses για το AI.</t>
        </is>
      </c>
      <c r="C74" s="182" t="n"/>
      <c r="D74" s="183" t="n"/>
    </row>
    <row r="77" ht="16.5" customHeight="1">
      <c r="B77" s="181" t="inlineStr">
        <is>
          <t>ΜΗΝΙΑΙΑ ΕΚΘΕΣΗ ΕΠΟΠΤΗ ΕΚΠΑΙΔΕΥΤΙΚΟΥ</t>
        </is>
      </c>
      <c r="C77" s="164" t="n"/>
      <c r="D77" s="165" t="n"/>
    </row>
    <row r="78" ht="150" customHeight="1">
      <c r="B78" s="184" t="inlineStr">
        <is>
          <t>Η ασκούμενη Παρασκευή Μελέτση παρουσίασε εξαιρετική αρχική εικόνα κατά τον πρώτο μήνα της πρακτικής της. Επιδεικνύει έντονη όρεξη για μάθηση και διατηρεί σταθερά θετική και συνεργατική στάση απέναντι στους συναδέλφους της. Με αρκετά καλές τεχνικές βάσεις ενσωματώθηκε γρήγορα στο περιβάλλον εργασίας, και στο πρώτο της assessment (Database Assessment) η πρόοδός της υπήρξε ταχεία και υψηλής ποιότητας, αξιοποιώντας ουσιαστικά το feedback που της δόθηκε. Διακρίνεται για την ικανότητά της να διατηρεί οργανωμένο το προσωπικό της roadmap, λειτουργώντας ανεξάρτητα στις καθημερινές της εργασίες αλλά και ζητώντας στοχευμένη καθοδήγηση για τα επόμενα βήματα ώστε να παραμένει σταθερά στην επιθυμητή πορεία. Ο πρώτος μήνας ολοκληρώνεται με ιδιαίτερα θετικές προοπτικές για τη συνέχεια.</t>
        </is>
      </c>
      <c r="C78" s="182" t="n"/>
      <c r="D78" s="183" t="n"/>
    </row>
  </sheetData>
  <sheetProtection selectLockedCells="1" selectUnlockedCells="0" algorithmName="SHA-512" sheet="1" objects="1" insertRows="1" insertHyperlinks="1" autoFilter="1" scenarios="1" formatColumns="1" deleteColumns="1" insertColumns="1" pivotTables="1" deleteRows="1" formatCells="1" saltValue="Ua/j0Uly+Ade5Hfz5Rrl0g==" formatRows="1" sort="1" spinCount="100000" hashValue="rKaAC6hekMr3IiwJgrjY7D7EddsQhN055UblR8UoExP0SW8MbsCNnpYNewiXaUfu6B3DT6IJU0nWw50xVr+uig=="/>
  <mergeCells count="34">
    <mergeCell ref="F35:M36"/>
    <mergeCell ref="E60:G60"/>
    <mergeCell ref="B57:D57"/>
    <mergeCell ref="B1:D1"/>
    <mergeCell ref="E31:G31"/>
    <mergeCell ref="F34:M34"/>
    <mergeCell ref="B73:D73"/>
    <mergeCell ref="F6:M6"/>
    <mergeCell ref="B78:D78"/>
    <mergeCell ref="B29:D29"/>
    <mergeCell ref="E59:G59"/>
    <mergeCell ref="E46:G46"/>
    <mergeCell ref="F65:M67"/>
    <mergeCell ref="E45:G45"/>
    <mergeCell ref="F20:M20"/>
    <mergeCell ref="B74:D74"/>
    <mergeCell ref="F49:M50"/>
    <mergeCell ref="B15:D15"/>
    <mergeCell ref="E32:G32"/>
    <mergeCell ref="F51:M53"/>
    <mergeCell ref="F62:M62"/>
    <mergeCell ref="F7:M8"/>
    <mergeCell ref="F63:M64"/>
    <mergeCell ref="E18:G18"/>
    <mergeCell ref="F23:M25"/>
    <mergeCell ref="E3:G3"/>
    <mergeCell ref="F48:M48"/>
    <mergeCell ref="F37:M39"/>
    <mergeCell ref="E17:G17"/>
    <mergeCell ref="E4:G4"/>
    <mergeCell ref="B43:D43"/>
    <mergeCell ref="B77:D77"/>
    <mergeCell ref="F9:M11"/>
    <mergeCell ref="F21:M22"/>
  </mergeCells>
  <conditionalFormatting sqref="E3:G3">
    <cfRule type="cellIs" priority="2" operator="notEqual" dxfId="0">
      <formula>2</formula>
    </cfRule>
  </conditionalFormatting>
  <conditionalFormatting sqref="E4:G4">
    <cfRule type="cellIs" priority="1" operator="notEqual" dxfId="0">
      <formula>6</formula>
    </cfRule>
  </conditionalFormatting>
  <pageMargins left="0.12" right="0.2" top="0.33" bottom="0.28" header="0.17" footer="0.14"/>
  <pageSetup orientation="landscape" paperSize="9" horizontalDpi="4294967293" verticalDpi="59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1:N78"/>
  <sheetViews>
    <sheetView topLeftCell="A10" workbookViewId="0">
      <selection activeCell="C24" sqref="C24"/>
    </sheetView>
  </sheetViews>
  <sheetFormatPr baseColWidth="8" defaultRowHeight="15"/>
  <cols>
    <col width="1.42578125" customWidth="1" min="1" max="1"/>
    <col width="14.28515625" customWidth="1" style="1" min="2" max="2"/>
    <col width="48.5703125" customWidth="1" min="3" max="3"/>
    <col width="12.140625" customWidth="1" style="1" min="4" max="4"/>
    <col width="2.7109375" customWidth="1" min="5" max="5"/>
    <col width="8" customWidth="1" min="6" max="13"/>
  </cols>
  <sheetData>
    <row r="1" ht="18" customHeight="1">
      <c r="B1" s="74" t="inlineStr">
        <is>
          <t>ΕΒΔΟΜΑΔΙΑΙΟ ΦΥΛΛΟ ΠΡΑΚΤΙΚΗΣ ΑΣΚΗΣΗΣ</t>
        </is>
      </c>
    </row>
    <row r="3" ht="18.75" customHeight="1">
      <c r="B3" s="10" t="inlineStr">
        <is>
          <t>ΕΒΔΟΜΑΔΑ</t>
        </is>
      </c>
      <c r="C3" s="11" t="inlineStr">
        <is>
          <t>από Δευτέρα:</t>
        </is>
      </c>
      <c r="D3" s="185" t="n">
        <v>46132</v>
      </c>
      <c r="E3" s="178">
        <f>D3</f>
        <v/>
      </c>
    </row>
    <row r="4" ht="18.75" customHeight="1">
      <c r="B4" s="34">
        <f>('2ος'!D3-'Στοιχεία Πρακτικής'!C21)/7 + 1</f>
        <v/>
      </c>
      <c r="C4" s="11" t="inlineStr">
        <is>
          <t>έως Παρασκευή:</t>
        </is>
      </c>
      <c r="D4" s="31">
        <f>D3+4</f>
        <v/>
      </c>
      <c r="E4" s="178">
        <f>D4</f>
        <v/>
      </c>
    </row>
    <row r="6" ht="31.5" customHeight="1">
      <c r="B6" s="13" t="inlineStr">
        <is>
          <t>ΗΜΕΡΑ</t>
        </is>
      </c>
      <c r="C6" s="14" t="inlineStr">
        <is>
          <t>ΠΕΡΙΛΗΨΗ ΕΡΓΑΣΙΩΝ
 ΠΟΥ ΕΚΕΤΕΛΕΣΤΗΚΑΝ</t>
        </is>
      </c>
      <c r="D6" s="13" t="inlineStr">
        <is>
          <t>ΩΡΕΣ</t>
        </is>
      </c>
      <c r="F6" s="77" t="inlineStr">
        <is>
          <t>ΕΒΔΟΜΑΔΙΑΙΕΣ ΣΗΜΕΙΩΣΕΙΣ - ΠΑΡΑΤΗΡΗΣΕΙΣ ΑΣΚΟΥΜΕΝΟΥ</t>
        </is>
      </c>
      <c r="G6" s="164" t="n"/>
      <c r="H6" s="164" t="n"/>
      <c r="I6" s="164" t="n"/>
      <c r="J6" s="164" t="n"/>
      <c r="K6" s="164" t="n"/>
      <c r="L6" s="164" t="n"/>
      <c r="M6" s="165" t="n"/>
    </row>
    <row r="7" ht="76.5" customHeight="1">
      <c r="B7" s="24">
        <f>D3</f>
        <v/>
      </c>
      <c r="C7" s="22" t="inlineStr">
        <is>
          <t>Course για τη React και τα API keys → ολοκλήρωση πρώτου course. Meeting with team and manager.</t>
        </is>
      </c>
      <c r="D7" s="26" t="n">
        <v>8</v>
      </c>
      <c r="F7" s="166" t="n"/>
      <c r="G7" s="167" t="n"/>
      <c r="H7" s="167" t="n"/>
      <c r="I7" s="167" t="n"/>
      <c r="J7" s="167" t="n"/>
      <c r="K7" s="167" t="n"/>
      <c r="L7" s="167" t="n"/>
      <c r="M7" s="149" t="n"/>
    </row>
    <row r="8" ht="76.5" customHeight="1">
      <c r="B8" s="24">
        <f>B7+1</f>
        <v/>
      </c>
      <c r="C8" s="22" t="inlineStr">
        <is>
          <t>Meeting Cloud platform internship. Έναρξη Web Calculator training — εμφάνιση UI σε React και βασικές λειτουργίες (+, −, ×, ÷).</t>
        </is>
      </c>
      <c r="D8" s="26" t="n">
        <v>8</v>
      </c>
      <c r="F8" s="168" t="n"/>
      <c r="G8" s="169" t="n"/>
      <c r="H8" s="169" t="n"/>
      <c r="I8" s="169" t="n"/>
      <c r="J8" s="169" t="n"/>
      <c r="K8" s="169" t="n"/>
      <c r="L8" s="169" t="n"/>
      <c r="M8" s="153" t="n"/>
    </row>
    <row r="9" ht="76.5" customHeight="1">
      <c r="B9" s="24">
        <f>B8+1</f>
        <v/>
      </c>
      <c r="C9" s="22" t="inlineStr">
        <is>
          <t>Meeting with team. Course για τη React (για να συνεχίσω το calculator). Αλλαγές στον calculator και συνέχεια του training.</t>
        </is>
      </c>
      <c r="D9" s="26" t="n">
        <v>8</v>
      </c>
      <c r="F9" s="180" t="inlineStr">
        <is>
          <t>Ξεκίνησα το Web Calculator training μετά την ολοκλήρωση των courses στη React.</t>
        </is>
      </c>
      <c r="G9" s="171" t="n"/>
      <c r="H9" s="171" t="n"/>
      <c r="I9" s="171" t="n"/>
      <c r="J9" s="171" t="n"/>
      <c r="K9" s="171" t="n"/>
      <c r="L9" s="171" t="n"/>
      <c r="M9" s="172" t="n"/>
    </row>
    <row r="10" ht="76.5" customHeight="1">
      <c r="B10" s="24">
        <f>B9+1</f>
        <v/>
      </c>
      <c r="C10" s="22" t="inlineStr">
        <is>
          <t>Meeting with team. AI use case series — ενημερωτικό από την εταιρεία. Συνέχεια του calculator — προσθήκη ιστορικού πράξεων.</t>
        </is>
      </c>
      <c r="D10" s="26" t="n">
        <v>8</v>
      </c>
      <c r="F10" s="173" t="n"/>
      <c r="M10" s="174" t="n"/>
    </row>
    <row r="11" ht="76.5" customHeight="1">
      <c r="B11" s="27">
        <f>B10+1</f>
        <v/>
      </c>
      <c r="C11" s="23" t="inlineStr">
        <is>
          <t>Meeting with team. Συνέχεια στο calculator history με καλύτερες τεχνικές.</t>
        </is>
      </c>
      <c r="D11" s="29" t="n">
        <v>8</v>
      </c>
      <c r="F11" s="175" t="n"/>
      <c r="G11" s="176" t="n"/>
      <c r="H11" s="176" t="n"/>
      <c r="I11" s="176" t="n"/>
      <c r="J11" s="176" t="n"/>
      <c r="K11" s="176" t="n"/>
      <c r="L11" s="176" t="n"/>
      <c r="M11" s="177" t="n"/>
    </row>
    <row r="12" ht="19.5" customHeight="1">
      <c r="C12" s="15" t="inlineStr">
        <is>
          <t>Σύνολο Εβδομαδιαίων Ωρών:</t>
        </is>
      </c>
      <c r="D12" s="16">
        <f>SUM(D7:D11)</f>
        <v/>
      </c>
    </row>
    <row r="13" ht="19.5" customHeight="1">
      <c r="C13" s="15" t="inlineStr">
        <is>
          <t>Ημέρες Εργασίας Εβδομάδας:</t>
        </is>
      </c>
      <c r="D13" s="16">
        <f>COUNTA(D7:D11)</f>
        <v/>
      </c>
      <c r="K13" s="17" t="inlineStr">
        <is>
          <t>Σύνολο Εργάσιμων Ημερών:</t>
        </is>
      </c>
      <c r="L13" s="18">
        <f>D13+'1ος'!L69</f>
        <v/>
      </c>
    </row>
    <row r="14">
      <c r="N14" s="1" t="n"/>
    </row>
    <row r="15" ht="18" customHeight="1">
      <c r="B15" s="74" t="inlineStr">
        <is>
          <t>ΕΒΔΟΜΑΔΙΑΙΟ ΦΥΛΛΟ ΠΡΑΚΤΙΚΗΣ ΑΣΚΗΣΗΣ</t>
        </is>
      </c>
    </row>
    <row r="17" ht="18.75" customHeight="1">
      <c r="B17" s="10" t="inlineStr">
        <is>
          <t>ΕΒΔΟΜΑΔΑ</t>
        </is>
      </c>
      <c r="C17" s="11" t="inlineStr">
        <is>
          <t>από Δευτέρα:</t>
        </is>
      </c>
      <c r="D17" s="32">
        <f>D3+7</f>
        <v/>
      </c>
      <c r="E17" s="178">
        <f>D17</f>
        <v/>
      </c>
    </row>
    <row r="18" ht="18.75" customHeight="1">
      <c r="B18" s="12">
        <f>B4+1</f>
        <v/>
      </c>
      <c r="C18" s="11" t="inlineStr">
        <is>
          <t>έως Παρασκευή:</t>
        </is>
      </c>
      <c r="D18" s="31">
        <f>D17+4</f>
        <v/>
      </c>
      <c r="E18" s="178">
        <f>D18</f>
        <v/>
      </c>
    </row>
    <row r="20" ht="31.5" customHeight="1">
      <c r="B20" s="13" t="inlineStr">
        <is>
          <t>ΗΜΕΡΑ</t>
        </is>
      </c>
      <c r="C20" s="14" t="inlineStr">
        <is>
          <t>ΠΕΡΙΛΗΨΗ ΕΡΓΑΣΙΩΝ
 ΠΟΥ ΕΚΕΤΕΛΕΣΤΗΚΑΝ</t>
        </is>
      </c>
      <c r="D20" s="13" t="inlineStr">
        <is>
          <t>ΩΡΕΣ</t>
        </is>
      </c>
      <c r="F20" s="77" t="inlineStr">
        <is>
          <t>ΕΒΔΟΜΑΔΙΑΙΕΣ ΣΗΜΕΙΩΣΕΙΣ - ΠΑΡΑΤΗΡΗΣΕΙΣ ΑΣΚΟΥΜΕΝΟΥ</t>
        </is>
      </c>
      <c r="G20" s="164" t="n"/>
      <c r="H20" s="164" t="n"/>
      <c r="I20" s="164" t="n"/>
      <c r="J20" s="164" t="n"/>
      <c r="K20" s="164" t="n"/>
      <c r="L20" s="164" t="n"/>
      <c r="M20" s="165" t="n"/>
    </row>
    <row r="21" ht="76.5" customHeight="1">
      <c r="B21" s="24">
        <f>D17</f>
        <v/>
      </c>
      <c r="C21" s="22" t="n"/>
      <c r="D21" s="26" t="n"/>
      <c r="F21" s="179" t="n"/>
      <c r="G21" s="167" t="n"/>
      <c r="H21" s="167" t="n"/>
      <c r="I21" s="167" t="n"/>
      <c r="J21" s="167" t="n"/>
      <c r="K21" s="167" t="n"/>
      <c r="L21" s="167" t="n"/>
      <c r="M21" s="149" t="n"/>
    </row>
    <row r="22" ht="76.5" customHeight="1">
      <c r="B22" s="24">
        <f>B21+1</f>
        <v/>
      </c>
      <c r="C22" s="22" t="n"/>
      <c r="D22" s="26" t="n"/>
      <c r="F22" s="168" t="n"/>
      <c r="G22" s="169" t="n"/>
      <c r="H22" s="169" t="n"/>
      <c r="I22" s="169" t="n"/>
      <c r="J22" s="169" t="n"/>
      <c r="K22" s="169" t="n"/>
      <c r="L22" s="169" t="n"/>
      <c r="M22" s="153" t="n"/>
    </row>
    <row r="23" ht="76.5" customHeight="1">
      <c r="B23" s="24">
        <f>B22+1</f>
        <v/>
      </c>
      <c r="C23" s="22" t="n"/>
      <c r="D23" s="26" t="n"/>
    </row>
    <row r="24" ht="76.5" customHeight="1">
      <c r="B24" s="24">
        <f>B23+1</f>
        <v/>
      </c>
      <c r="C24" s="22" t="n"/>
      <c r="D24" s="26" t="n"/>
    </row>
    <row r="25" ht="76.5" customHeight="1">
      <c r="B25" s="27">
        <f>B24+1</f>
        <v/>
      </c>
      <c r="C25" s="23" t="n"/>
      <c r="D25" s="29" t="n"/>
    </row>
    <row r="26" ht="19.5" customHeight="1">
      <c r="C26" s="15" t="inlineStr">
        <is>
          <t>Σύνολο Εβδομαδιαίων Ωρών:</t>
        </is>
      </c>
      <c r="D26" s="16">
        <f>SUM(D21:D25)</f>
        <v/>
      </c>
    </row>
    <row r="27" ht="19.5" customHeight="1">
      <c r="C27" s="15" t="inlineStr">
        <is>
          <t>Ημέρες Εργασίας Εβδομάδας:</t>
        </is>
      </c>
      <c r="D27" s="16">
        <f>COUNTA(D21:D25)</f>
        <v/>
      </c>
      <c r="K27" s="17" t="inlineStr">
        <is>
          <t>Σύνολο Εργάσιμων Ημερών:</t>
        </is>
      </c>
      <c r="L27" s="18">
        <f>D27+L13</f>
        <v/>
      </c>
    </row>
    <row r="29" ht="18" customHeight="1">
      <c r="B29" s="74" t="inlineStr">
        <is>
          <t>ΕΒΔΟΜΑΔΙΑΙΟ ΦΥΛΛΟ ΠΡΑΚΤΙΚΗΣ ΑΣΚΗΣΗΣ</t>
        </is>
      </c>
    </row>
    <row r="31" ht="18.75" customHeight="1">
      <c r="B31" s="10" t="inlineStr">
        <is>
          <t>ΕΒΔΟΜΑΔΑ</t>
        </is>
      </c>
      <c r="C31" s="11" t="inlineStr">
        <is>
          <t>από Δευτέρα:</t>
        </is>
      </c>
      <c r="D31" s="32">
        <f>D17+7</f>
        <v/>
      </c>
      <c r="E31" s="178">
        <f>D31</f>
        <v/>
      </c>
    </row>
    <row r="32" ht="18.75" customHeight="1">
      <c r="B32" s="12">
        <f>B18+1</f>
        <v/>
      </c>
      <c r="C32" s="11" t="inlineStr">
        <is>
          <t>έως Παρασκευή:</t>
        </is>
      </c>
      <c r="D32" s="31">
        <f>D31+4</f>
        <v/>
      </c>
      <c r="E32" s="178">
        <f>D32</f>
        <v/>
      </c>
    </row>
    <row r="34" ht="31.5" customHeight="1">
      <c r="B34" s="13" t="inlineStr">
        <is>
          <t>ΗΜΕΡΑ</t>
        </is>
      </c>
      <c r="C34" s="14" t="inlineStr">
        <is>
          <t>ΠΕΡΙΛΗΨΗ ΕΡΓΑΣΙΩΝ
 ΠΟΥ ΕΚΕΤΕΛΕΣΤΗΚΑΝ</t>
        </is>
      </c>
      <c r="D34" s="13" t="inlineStr">
        <is>
          <t>ΩΡΕΣ</t>
        </is>
      </c>
      <c r="F34" s="77" t="inlineStr">
        <is>
          <t>ΕΒΔΟΜΑΔΙΑΙΕΣ ΣΗΜΕΙΩΣΕΙΣ - ΠΑΡΑΤΗΡΗΣΕΙΣ ΑΣΚΟΥΜΕΝΟΥ</t>
        </is>
      </c>
      <c r="G34" s="164" t="n"/>
      <c r="H34" s="164" t="n"/>
      <c r="I34" s="164" t="n"/>
      <c r="J34" s="164" t="n"/>
      <c r="K34" s="164" t="n"/>
      <c r="L34" s="164" t="n"/>
      <c r="M34" s="165" t="n"/>
    </row>
    <row r="35" ht="76.5" customHeight="1">
      <c r="B35" s="24">
        <f>D31</f>
        <v/>
      </c>
      <c r="C35" s="25" t="n"/>
      <c r="D35" s="26" t="n"/>
      <c r="F35" s="179" t="n"/>
      <c r="G35" s="167" t="n"/>
      <c r="H35" s="167" t="n"/>
      <c r="I35" s="167" t="n"/>
      <c r="J35" s="167" t="n"/>
      <c r="K35" s="167" t="n"/>
      <c r="L35" s="167" t="n"/>
      <c r="M35" s="149" t="n"/>
    </row>
    <row r="36" ht="76.5" customHeight="1">
      <c r="B36" s="24">
        <f>B35+1</f>
        <v/>
      </c>
      <c r="C36" s="25" t="n"/>
      <c r="D36" s="26" t="n"/>
      <c r="F36" s="168" t="n"/>
      <c r="G36" s="169" t="n"/>
      <c r="H36" s="169" t="n"/>
      <c r="I36" s="169" t="n"/>
      <c r="J36" s="169" t="n"/>
      <c r="K36" s="169" t="n"/>
      <c r="L36" s="169" t="n"/>
      <c r="M36" s="153" t="n"/>
    </row>
    <row r="37" ht="76.5" customHeight="1">
      <c r="B37" s="24">
        <f>B36+1</f>
        <v/>
      </c>
      <c r="C37" s="25" t="n"/>
      <c r="D37" s="26" t="n"/>
    </row>
    <row r="38" ht="76.5" customHeight="1">
      <c r="B38" s="24">
        <f>B37+1</f>
        <v/>
      </c>
      <c r="C38" s="25" t="n"/>
      <c r="D38" s="26" t="n"/>
    </row>
    <row r="39" ht="76.5" customHeight="1">
      <c r="B39" s="27">
        <f>B38+1</f>
        <v/>
      </c>
      <c r="C39" s="28" t="n"/>
      <c r="D39" s="29" t="n"/>
    </row>
    <row r="40" ht="19.5" customHeight="1">
      <c r="C40" s="15" t="inlineStr">
        <is>
          <t>Σύνολο Εβδομαδιαίων Ωρών:</t>
        </is>
      </c>
      <c r="D40" s="16">
        <f>SUM(D35:D39)</f>
        <v/>
      </c>
    </row>
    <row r="41" ht="19.5" customHeight="1">
      <c r="C41" s="15" t="inlineStr">
        <is>
          <t>Ημέρες Εργασίας Εβδομάδας:</t>
        </is>
      </c>
      <c r="D41" s="16">
        <f>COUNTA(D35:D39)</f>
        <v/>
      </c>
      <c r="K41" s="17" t="inlineStr">
        <is>
          <t>Σύνολο Εργάσιμων Ημερών:</t>
        </is>
      </c>
      <c r="L41" s="18">
        <f>D41+L27</f>
        <v/>
      </c>
    </row>
    <row r="43" ht="18" customHeight="1">
      <c r="B43" s="74" t="inlineStr">
        <is>
          <t>ΕΒΔΟΜΑΔΙΑΙΟ ΦΥΛΛΟ ΠΡΑΚΤΙΚΗΣ ΑΣΚΗΣΗΣ</t>
        </is>
      </c>
    </row>
    <row r="45" ht="18.75" customHeight="1">
      <c r="B45" s="10" t="inlineStr">
        <is>
          <t>ΕΒΔΟΜΑΔΑ</t>
        </is>
      </c>
      <c r="C45" s="11" t="inlineStr">
        <is>
          <t>από Δευτέρα:</t>
        </is>
      </c>
      <c r="D45" s="32">
        <f>D31+7</f>
        <v/>
      </c>
      <c r="E45" s="178">
        <f>D45</f>
        <v/>
      </c>
    </row>
    <row r="46" ht="18.75" customHeight="1">
      <c r="B46" s="12">
        <f>B32+1</f>
        <v/>
      </c>
      <c r="C46" s="11" t="inlineStr">
        <is>
          <t>έως Παρασκευή:</t>
        </is>
      </c>
      <c r="D46" s="31">
        <f>D45+4</f>
        <v/>
      </c>
      <c r="E46" s="178">
        <f>D46</f>
        <v/>
      </c>
    </row>
    <row r="48" ht="31.5" customHeight="1">
      <c r="B48" s="13" t="inlineStr">
        <is>
          <t>ΗΜΕΡΑ</t>
        </is>
      </c>
      <c r="C48" s="14" t="inlineStr">
        <is>
          <t>ΠΕΡΙΛΗΨΗ ΕΡΓΑΣΙΩΝ
 ΠΟΥ ΕΚΕΤΕΛΕΣΤΗΚΑΝ</t>
        </is>
      </c>
      <c r="D48" s="13" t="inlineStr">
        <is>
          <t>ΩΡΕΣ</t>
        </is>
      </c>
      <c r="F48" s="77" t="inlineStr">
        <is>
          <t>ΕΒΔΟΜΑΔΙΑΙΕΣ ΣΗΜΕΙΩΣΕΙΣ - ΠΑΡΑΤΗΡΗΣΕΙΣ ΑΣΚΟΥΜΕΝΟΥ</t>
        </is>
      </c>
      <c r="G48" s="164" t="n"/>
      <c r="H48" s="164" t="n"/>
      <c r="I48" s="164" t="n"/>
      <c r="J48" s="164" t="n"/>
      <c r="K48" s="164" t="n"/>
      <c r="L48" s="164" t="n"/>
      <c r="M48" s="165" t="n"/>
    </row>
    <row r="49" ht="76.5" customHeight="1">
      <c r="B49" s="24">
        <f>D45</f>
        <v/>
      </c>
      <c r="C49" s="25" t="n"/>
      <c r="D49" s="26" t="n"/>
      <c r="F49" s="179" t="n"/>
      <c r="G49" s="167" t="n"/>
      <c r="H49" s="167" t="n"/>
      <c r="I49" s="167" t="n"/>
      <c r="J49" s="167" t="n"/>
      <c r="K49" s="167" t="n"/>
      <c r="L49" s="167" t="n"/>
      <c r="M49" s="149" t="n"/>
    </row>
    <row r="50" ht="76.5" customHeight="1">
      <c r="B50" s="24">
        <f>B49+1</f>
        <v/>
      </c>
      <c r="C50" s="25" t="n"/>
      <c r="D50" s="26" t="n"/>
      <c r="F50" s="168" t="n"/>
      <c r="G50" s="169" t="n"/>
      <c r="H50" s="169" t="n"/>
      <c r="I50" s="169" t="n"/>
      <c r="J50" s="169" t="n"/>
      <c r="K50" s="169" t="n"/>
      <c r="L50" s="169" t="n"/>
      <c r="M50" s="153" t="n"/>
    </row>
    <row r="51" ht="76.5" customHeight="1">
      <c r="B51" s="24">
        <f>B50+1</f>
        <v/>
      </c>
      <c r="C51" s="25" t="n"/>
      <c r="D51" s="26" t="n"/>
    </row>
    <row r="52" ht="76.5" customHeight="1">
      <c r="B52" s="24">
        <f>B51+1</f>
        <v/>
      </c>
      <c r="C52" s="25" t="n"/>
      <c r="D52" s="26" t="n"/>
    </row>
    <row r="53" ht="76.5" customHeight="1">
      <c r="B53" s="27">
        <f>B52+1</f>
        <v/>
      </c>
      <c r="C53" s="28" t="n"/>
      <c r="D53" s="29" t="n"/>
    </row>
    <row r="54" ht="19.5" customHeight="1">
      <c r="C54" s="15" t="inlineStr">
        <is>
          <t>Σύνολο Εβδομαδιαίων Ωρών:</t>
        </is>
      </c>
      <c r="D54" s="16">
        <f>SUM(D49:D53)</f>
        <v/>
      </c>
    </row>
    <row r="55" ht="19.5" customHeight="1">
      <c r="C55" s="15" t="inlineStr">
        <is>
          <t>Ημέρες Εργασίας Εβδομάδας:</t>
        </is>
      </c>
      <c r="D55" s="16">
        <f>COUNTA(D49:D53)</f>
        <v/>
      </c>
      <c r="K55" s="17" t="inlineStr">
        <is>
          <t>Σύνολο Εργάσιμων Ημερών:</t>
        </is>
      </c>
      <c r="L55" s="18">
        <f>D55+L41</f>
        <v/>
      </c>
    </row>
    <row r="57" ht="18" customHeight="1">
      <c r="B57" s="74" t="inlineStr">
        <is>
          <t>ΕΒΔΟΜΑΔΙΑΙΟ ΦΥΛΛΟ ΠΡΑΚΤΙΚΗΣ ΑΣΚΗΣΗΣ</t>
        </is>
      </c>
    </row>
    <row r="59" ht="18.75" customHeight="1">
      <c r="B59" s="10" t="inlineStr">
        <is>
          <t>ΕΒΔΟΜΑΔΑ</t>
        </is>
      </c>
      <c r="C59" s="11" t="inlineStr">
        <is>
          <t>από Δευτέρα:</t>
        </is>
      </c>
      <c r="D59" s="32">
        <f>D45+7</f>
        <v/>
      </c>
      <c r="E59" s="163">
        <f>WEEKDAY(D59)</f>
        <v/>
      </c>
    </row>
    <row r="60" ht="18.75" customHeight="1">
      <c r="B60" s="12">
        <f>B46+1</f>
        <v/>
      </c>
      <c r="C60" s="11" t="inlineStr">
        <is>
          <t>έως Παρασκευή:</t>
        </is>
      </c>
      <c r="D60" s="31">
        <f>D59+4</f>
        <v/>
      </c>
      <c r="E60" s="163">
        <f>WEEKDAY(D60)</f>
        <v/>
      </c>
    </row>
    <row r="62" ht="31.5" customHeight="1">
      <c r="B62" s="13" t="inlineStr">
        <is>
          <t>ΗΜΕΡΑ</t>
        </is>
      </c>
      <c r="C62" s="14" t="inlineStr">
        <is>
          <t>ΠΕΡΙΛΗΨΗ ΕΡΓΑΣΙΩΝ
 ΠΟΥ ΕΚΕΤΕΛΕΣΤΗΚΑΝ</t>
        </is>
      </c>
      <c r="D62" s="13" t="inlineStr">
        <is>
          <t>ΩΡΕΣ</t>
        </is>
      </c>
      <c r="F62" s="77" t="inlineStr">
        <is>
          <t>ΕΒΔΟΜΑΔΙΑΙΕΣ ΣΗΜΕΙΩΣΕΙΣ - ΠΑΡΑΤΗΡΗΣΕΙΣ ΑΣΚΟΥΜΕΝΟΥ</t>
        </is>
      </c>
      <c r="G62" s="164" t="n"/>
      <c r="H62" s="164" t="n"/>
      <c r="I62" s="164" t="n"/>
      <c r="J62" s="164" t="n"/>
      <c r="K62" s="164" t="n"/>
      <c r="L62" s="164" t="n"/>
      <c r="M62" s="165" t="n"/>
    </row>
    <row r="63" ht="76.5" customHeight="1">
      <c r="B63" s="24">
        <f>D59</f>
        <v/>
      </c>
      <c r="C63" s="25" t="n"/>
      <c r="D63" s="26" t="n"/>
      <c r="F63" s="179" t="n"/>
      <c r="G63" s="167" t="n"/>
      <c r="H63" s="167" t="n"/>
      <c r="I63" s="167" t="n"/>
      <c r="J63" s="167" t="n"/>
      <c r="K63" s="167" t="n"/>
      <c r="L63" s="167" t="n"/>
      <c r="M63" s="149" t="n"/>
    </row>
    <row r="64" ht="76.5" customHeight="1">
      <c r="B64" s="24">
        <f>B63+1</f>
        <v/>
      </c>
      <c r="C64" s="25" t="n"/>
      <c r="D64" s="26" t="n"/>
      <c r="F64" s="168" t="n"/>
      <c r="G64" s="169" t="n"/>
      <c r="H64" s="169" t="n"/>
      <c r="I64" s="169" t="n"/>
      <c r="J64" s="169" t="n"/>
      <c r="K64" s="169" t="n"/>
      <c r="L64" s="169" t="n"/>
      <c r="M64" s="153" t="n"/>
    </row>
    <row r="65" ht="76.5" customHeight="1">
      <c r="B65" s="24">
        <f>B64+1</f>
        <v/>
      </c>
      <c r="C65" s="25" t="n"/>
      <c r="D65" s="26" t="n"/>
    </row>
    <row r="66" ht="76.5" customHeight="1">
      <c r="B66" s="24">
        <f>B65+1</f>
        <v/>
      </c>
      <c r="C66" s="25" t="n"/>
      <c r="D66" s="26" t="n"/>
    </row>
    <row r="67" ht="76.5" customHeight="1">
      <c r="B67" s="27">
        <f>B66+1</f>
        <v/>
      </c>
      <c r="C67" s="28" t="n"/>
      <c r="D67" s="29" t="n"/>
    </row>
    <row r="68" ht="19.5" customHeight="1">
      <c r="C68" s="15" t="inlineStr">
        <is>
          <t>Σύνολο Εβδομαδιαίων Ωρών:</t>
        </is>
      </c>
      <c r="D68" s="16">
        <f>SUM(D63:D67)</f>
        <v/>
      </c>
    </row>
    <row r="69" ht="19.5" customHeight="1">
      <c r="C69" s="15" t="inlineStr">
        <is>
          <t>Ημέρες Εργασίας Εβδομάδας:</t>
        </is>
      </c>
      <c r="D69" s="16">
        <f>COUNTA(D63:D67)</f>
        <v/>
      </c>
      <c r="K69" s="17" t="inlineStr">
        <is>
          <t>Σύνολο Εργάσιμων Ημερών:</t>
        </is>
      </c>
      <c r="L69" s="18">
        <f>D69+L55</f>
        <v/>
      </c>
    </row>
    <row r="73" ht="16.5" customHeight="1">
      <c r="B73" s="181" t="inlineStr">
        <is>
          <t>ΜΗΝΙΑΙΑ ΕΚΘΕΣΗ ΕΡΓΑΣΙΑΚΩΝ ΕΜΠΕΙΡΙΩΝ ΑΣΚΟΥΜΕΝΟΥ</t>
        </is>
      </c>
      <c r="C73" s="164" t="n"/>
      <c r="D73" s="165" t="n"/>
    </row>
    <row r="74" ht="150" customHeight="1">
      <c r="B74" s="166" t="n"/>
      <c r="C74" s="182" t="n"/>
      <c r="D74" s="183" t="n"/>
    </row>
    <row r="77" ht="16.5" customHeight="1">
      <c r="B77" s="181" t="inlineStr">
        <is>
          <t>ΜΗΝΙΑΙΑ ΕΚΘΕΣΗ ΕΠΟΠΤΗ ΕΚΠΑΙΔΕΥΤΙΚΟΥ</t>
        </is>
      </c>
      <c r="C77" s="164" t="n"/>
      <c r="D77" s="165" t="n"/>
    </row>
    <row r="78" ht="150" customHeight="1">
      <c r="B78" s="184" t="n"/>
      <c r="C78" s="182" t="n"/>
      <c r="D78" s="183" t="n"/>
    </row>
  </sheetData>
  <sheetProtection selectLockedCells="1" selectUnlockedCells="0" algorithmName="SHA-512" sheet="1" objects="1" insertRows="1" insertHyperlinks="1" autoFilter="1" scenarios="1" formatColumns="1" deleteColumns="1" insertColumns="1" pivotTables="1" deleteRows="1" formatCells="1" saltValue="RQKWS33aUaeNhAJ0c/qcqw==" formatRows="1" sort="1" spinCount="100000" hashValue="nYKiSvL+3hgJaoFhvU8NSFI1SfRzI8KTzFtkvIFDqtoyb8CV5B6mrN8kCL/TSKYQ+HjlCkTFLd3W/SJy9h8lJA=="/>
  <mergeCells count="30">
    <mergeCell ref="F35:M36"/>
    <mergeCell ref="E60:G60"/>
    <mergeCell ref="B57:D57"/>
    <mergeCell ref="B1:D1"/>
    <mergeCell ref="E31:G31"/>
    <mergeCell ref="F34:M34"/>
    <mergeCell ref="B73:D73"/>
    <mergeCell ref="F6:M6"/>
    <mergeCell ref="B78:D78"/>
    <mergeCell ref="B29:D29"/>
    <mergeCell ref="E59:G59"/>
    <mergeCell ref="E46:G46"/>
    <mergeCell ref="E45:G45"/>
    <mergeCell ref="F20:M20"/>
    <mergeCell ref="B74:D74"/>
    <mergeCell ref="F49:M50"/>
    <mergeCell ref="B15:D15"/>
    <mergeCell ref="E32:G32"/>
    <mergeCell ref="F62:M62"/>
    <mergeCell ref="F7:M8"/>
    <mergeCell ref="F63:M64"/>
    <mergeCell ref="E18:G18"/>
    <mergeCell ref="E3:G3"/>
    <mergeCell ref="F48:M48"/>
    <mergeCell ref="E17:G17"/>
    <mergeCell ref="E4:G4"/>
    <mergeCell ref="B43:D43"/>
    <mergeCell ref="B77:D77"/>
    <mergeCell ref="F9:M11"/>
    <mergeCell ref="F21:M22"/>
  </mergeCells>
  <conditionalFormatting sqref="E59:G59">
    <cfRule type="cellIs" priority="2" operator="notEqual" dxfId="0">
      <formula>2</formula>
    </cfRule>
  </conditionalFormatting>
  <conditionalFormatting sqref="E60:G60">
    <cfRule type="cellIs" priority="1" operator="notEqual" dxfId="0">
      <formula>6</formula>
    </cfRule>
  </conditionalFormatting>
  <pageMargins left="0.12" right="0.2" top="0.33" bottom="0.28" header="0.17" footer="0.14"/>
  <pageSetup orientation="landscape" paperSize="9" horizontalDpi="4294967293"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1:N78"/>
  <sheetViews>
    <sheetView topLeftCell="A10" workbookViewId="0">
      <selection activeCell="C24" sqref="C24"/>
    </sheetView>
  </sheetViews>
  <sheetFormatPr baseColWidth="8" defaultRowHeight="15"/>
  <cols>
    <col width="1.42578125" customWidth="1" min="1" max="1"/>
    <col width="14.28515625" customWidth="1" style="1" min="2" max="2"/>
    <col width="48.5703125" customWidth="1" min="3" max="3"/>
    <col width="12.140625" customWidth="1" style="1" min="4" max="4"/>
    <col width="2.7109375" customWidth="1" min="5" max="5"/>
    <col width="8" customWidth="1" min="6" max="13"/>
  </cols>
  <sheetData>
    <row r="1" ht="18" customHeight="1">
      <c r="B1" s="74" t="inlineStr">
        <is>
          <t>ΕΒΔΟΜΑΔΙΑΙΟ ΦΥΛΛΟ ΠΡΑΚΤΙΚΗΣ ΑΣΚΗΣΗΣ</t>
        </is>
      </c>
    </row>
    <row r="3" ht="18.75" customHeight="1">
      <c r="B3" s="10" t="inlineStr">
        <is>
          <t>ΕΒΔΟΜΑΔΑ</t>
        </is>
      </c>
      <c r="C3" s="11" t="inlineStr">
        <is>
          <t>από Δευτέρα:</t>
        </is>
      </c>
      <c r="D3" s="185" t="n">
        <v>46167</v>
      </c>
      <c r="E3" s="163">
        <f>WEEKDAY(D3)</f>
        <v/>
      </c>
    </row>
    <row r="4" ht="18.75" customHeight="1">
      <c r="B4" s="34">
        <f>('3ος'!D3-'Στοιχεία Πρακτικής'!C21)/7 + 1</f>
        <v/>
      </c>
      <c r="C4" s="11" t="inlineStr">
        <is>
          <t>έως Παρασκευή:</t>
        </is>
      </c>
      <c r="D4" s="31">
        <f>D3+4</f>
        <v/>
      </c>
      <c r="E4" s="163">
        <f>WEEKDAY(D4)</f>
        <v/>
      </c>
    </row>
    <row r="6" ht="31.5" customHeight="1">
      <c r="B6" s="13" t="inlineStr">
        <is>
          <t>ΗΜΕΡΑ</t>
        </is>
      </c>
      <c r="C6" s="14" t="inlineStr">
        <is>
          <t>ΠΕΡΙΛΗΨΗ ΕΡΓΑΣΙΩΝ
 ΠΟΥ ΕΚΕΤΕΛΕΣΤΗΚΑΝ</t>
        </is>
      </c>
      <c r="D6" s="13" t="inlineStr">
        <is>
          <t>ΩΡΕΣ</t>
        </is>
      </c>
      <c r="F6" s="77" t="inlineStr">
        <is>
          <t>ΕΒΔΟΜΑΔΙΑΙΕΣ ΣΗΜΕΙΩΣΕΙΣ - ΠΑΡΑΤΗΡΗΣΕΙΣ ΑΣΚΟΥΜΕΝΟΥ</t>
        </is>
      </c>
      <c r="G6" s="164" t="n"/>
      <c r="H6" s="164" t="n"/>
      <c r="I6" s="164" t="n"/>
      <c r="J6" s="164" t="n"/>
      <c r="K6" s="164" t="n"/>
      <c r="L6" s="164" t="n"/>
      <c r="M6" s="165" t="n"/>
    </row>
    <row r="7" ht="76.5" customHeight="1">
      <c r="B7" s="24">
        <f>D3</f>
        <v/>
      </c>
      <c r="C7" s="22" t="n"/>
      <c r="D7" s="26" t="n"/>
      <c r="F7" s="166" t="n"/>
      <c r="G7" s="167" t="n"/>
      <c r="H7" s="167" t="n"/>
      <c r="I7" s="167" t="n"/>
      <c r="J7" s="167" t="n"/>
      <c r="K7" s="167" t="n"/>
      <c r="L7" s="167" t="n"/>
      <c r="M7" s="149" t="n"/>
    </row>
    <row r="8" ht="76.5" customHeight="1">
      <c r="B8" s="24">
        <f>B7+1</f>
        <v/>
      </c>
      <c r="C8" s="22" t="n"/>
      <c r="D8" s="26" t="n"/>
      <c r="F8" s="168" t="n"/>
      <c r="G8" s="169" t="n"/>
      <c r="H8" s="169" t="n"/>
      <c r="I8" s="169" t="n"/>
      <c r="J8" s="169" t="n"/>
      <c r="K8" s="169" t="n"/>
      <c r="L8" s="169" t="n"/>
      <c r="M8" s="153" t="n"/>
    </row>
    <row r="9" ht="76.5" customHeight="1">
      <c r="B9" s="24">
        <f>B8+1</f>
        <v/>
      </c>
      <c r="C9" s="22" t="n"/>
      <c r="D9" s="26" t="n"/>
      <c r="F9" s="180">
        <f>'1ος'!F9:M11</f>
        <v/>
      </c>
      <c r="G9" s="171" t="n"/>
      <c r="H9" s="171" t="n"/>
      <c r="I9" s="171" t="n"/>
      <c r="J9" s="171" t="n"/>
      <c r="K9" s="171" t="n"/>
      <c r="L9" s="171" t="n"/>
      <c r="M9" s="172" t="n"/>
    </row>
    <row r="10" ht="76.5" customHeight="1">
      <c r="B10" s="24">
        <f>B9+1</f>
        <v/>
      </c>
      <c r="C10" s="22" t="n"/>
      <c r="D10" s="26" t="n"/>
      <c r="F10" s="173" t="n"/>
      <c r="M10" s="174" t="n"/>
    </row>
    <row r="11" ht="76.5" customHeight="1">
      <c r="B11" s="27">
        <f>B10+1</f>
        <v/>
      </c>
      <c r="C11" s="23" t="n"/>
      <c r="D11" s="29" t="n"/>
      <c r="F11" s="175" t="n"/>
      <c r="G11" s="176" t="n"/>
      <c r="H11" s="176" t="n"/>
      <c r="I11" s="176" t="n"/>
      <c r="J11" s="176" t="n"/>
      <c r="K11" s="176" t="n"/>
      <c r="L11" s="176" t="n"/>
      <c r="M11" s="177" t="n"/>
    </row>
    <row r="12" ht="19.5" customHeight="1">
      <c r="C12" s="15" t="inlineStr">
        <is>
          <t>Σύνολο Εβδομαδιαίων Ωρών:</t>
        </is>
      </c>
      <c r="D12" s="16">
        <f>SUM(D7:D11)</f>
        <v/>
      </c>
    </row>
    <row r="13" ht="19.5" customHeight="1">
      <c r="C13" s="15" t="inlineStr">
        <is>
          <t>Ημέρες Εργασίας Εβδομάδας:</t>
        </is>
      </c>
      <c r="D13" s="16">
        <f>COUNTA(D7:D11)</f>
        <v/>
      </c>
      <c r="K13" s="17" t="inlineStr">
        <is>
          <t>Σύνολο Εργάσιμων Ημερών:</t>
        </is>
      </c>
      <c r="L13" s="18">
        <f>D13+'2ος'!L69</f>
        <v/>
      </c>
    </row>
    <row r="14">
      <c r="N14" s="1" t="n"/>
    </row>
    <row r="15" ht="18" customHeight="1">
      <c r="B15" s="74" t="inlineStr">
        <is>
          <t>ΕΒΔΟΜΑΔΙΑΙΟ ΦΥΛΛΟ ΠΡΑΚΤΙΚΗΣ ΑΣΚΗΣΗΣ</t>
        </is>
      </c>
    </row>
    <row r="17" ht="18.75" customHeight="1">
      <c r="B17" s="10" t="inlineStr">
        <is>
          <t>ΕΒΔΟΜΑΔΑ</t>
        </is>
      </c>
      <c r="C17" s="11" t="inlineStr">
        <is>
          <t>από Δευτέρα:</t>
        </is>
      </c>
      <c r="D17" s="32">
        <f>D3+7</f>
        <v/>
      </c>
      <c r="E17" s="178">
        <f>D17</f>
        <v/>
      </c>
    </row>
    <row r="18" ht="18.75" customHeight="1">
      <c r="B18" s="12">
        <f>B4+1</f>
        <v/>
      </c>
      <c r="C18" s="11" t="inlineStr">
        <is>
          <t>έως Παρασκευή:</t>
        </is>
      </c>
      <c r="D18" s="31">
        <f>D17+4</f>
        <v/>
      </c>
      <c r="E18" s="178">
        <f>D18</f>
        <v/>
      </c>
    </row>
    <row r="20" ht="31.5" customHeight="1">
      <c r="B20" s="13" t="inlineStr">
        <is>
          <t>ΗΜΕΡΑ</t>
        </is>
      </c>
      <c r="C20" s="14" t="inlineStr">
        <is>
          <t>ΠΕΡΙΛΗΨΗ ΕΡΓΑΣΙΩΝ
 ΠΟΥ ΕΚΕΤΕΛΕΣΤΗΚΑΝ</t>
        </is>
      </c>
      <c r="D20" s="13" t="inlineStr">
        <is>
          <t>ΩΡΕΣ</t>
        </is>
      </c>
      <c r="F20" s="77" t="inlineStr">
        <is>
          <t>ΕΒΔΟΜΑΔΙΑΙΕΣ ΣΗΜΕΙΩΣΕΙΣ - ΠΑΡΑΤΗΡΗΣΕΙΣ ΑΣΚΟΥΜΕΝΟΥ</t>
        </is>
      </c>
      <c r="G20" s="164" t="n"/>
      <c r="H20" s="164" t="n"/>
      <c r="I20" s="164" t="n"/>
      <c r="J20" s="164" t="n"/>
      <c r="K20" s="164" t="n"/>
      <c r="L20" s="164" t="n"/>
      <c r="M20" s="165" t="n"/>
    </row>
    <row r="21" ht="76.5" customHeight="1">
      <c r="B21" s="24">
        <f>D17</f>
        <v/>
      </c>
      <c r="C21" s="22" t="n"/>
      <c r="D21" s="26" t="n"/>
      <c r="F21" s="179" t="n"/>
      <c r="G21" s="167" t="n"/>
      <c r="H21" s="167" t="n"/>
      <c r="I21" s="167" t="n"/>
      <c r="J21" s="167" t="n"/>
      <c r="K21" s="167" t="n"/>
      <c r="L21" s="167" t="n"/>
      <c r="M21" s="149" t="n"/>
    </row>
    <row r="22" ht="76.5" customHeight="1">
      <c r="B22" s="24">
        <f>B21+1</f>
        <v/>
      </c>
      <c r="C22" s="22" t="n"/>
      <c r="D22" s="26" t="n"/>
      <c r="F22" s="168" t="n"/>
      <c r="G22" s="169" t="n"/>
      <c r="H22" s="169" t="n"/>
      <c r="I22" s="169" t="n"/>
      <c r="J22" s="169" t="n"/>
      <c r="K22" s="169" t="n"/>
      <c r="L22" s="169" t="n"/>
      <c r="M22" s="153" t="n"/>
    </row>
    <row r="23" ht="76.5" customHeight="1">
      <c r="B23" s="24">
        <f>B22+1</f>
        <v/>
      </c>
      <c r="C23" s="22" t="n"/>
      <c r="D23" s="26" t="n"/>
    </row>
    <row r="24" ht="76.5" customHeight="1">
      <c r="B24" s="24">
        <f>B23+1</f>
        <v/>
      </c>
      <c r="C24" s="22" t="n"/>
      <c r="D24" s="26" t="n"/>
    </row>
    <row r="25" ht="76.5" customHeight="1">
      <c r="B25" s="27">
        <f>B24+1</f>
        <v/>
      </c>
      <c r="C25" s="23" t="n"/>
      <c r="D25" s="29" t="n"/>
    </row>
    <row r="26" ht="19.5" customHeight="1">
      <c r="C26" s="15" t="inlineStr">
        <is>
          <t>Σύνολο Εβδομαδιαίων Ωρών:</t>
        </is>
      </c>
      <c r="D26" s="16">
        <f>SUM(D21:D25)</f>
        <v/>
      </c>
    </row>
    <row r="27" ht="19.5" customHeight="1">
      <c r="C27" s="15" t="inlineStr">
        <is>
          <t>Ημέρες Εργασίας Εβδομάδας:</t>
        </is>
      </c>
      <c r="D27" s="16">
        <f>COUNTA(D21:D25)</f>
        <v/>
      </c>
      <c r="K27" s="17" t="inlineStr">
        <is>
          <t>Σύνολο Εργάσιμων Ημερών:</t>
        </is>
      </c>
      <c r="L27" s="18">
        <f>D27+L13</f>
        <v/>
      </c>
    </row>
    <row r="29" ht="18" customHeight="1">
      <c r="B29" s="74" t="inlineStr">
        <is>
          <t>ΕΒΔΟΜΑΔΙΑΙΟ ΦΥΛΛΟ ΠΡΑΚΤΙΚΗΣ ΑΣΚΗΣΗΣ</t>
        </is>
      </c>
    </row>
    <row r="31" ht="18.75" customHeight="1">
      <c r="B31" s="10" t="inlineStr">
        <is>
          <t>ΕΒΔΟΜΑΔΑ</t>
        </is>
      </c>
      <c r="C31" s="11" t="inlineStr">
        <is>
          <t>από Δευτέρα:</t>
        </is>
      </c>
      <c r="D31" s="32">
        <f>D17+7</f>
        <v/>
      </c>
      <c r="E31" s="178">
        <f>D31</f>
        <v/>
      </c>
    </row>
    <row r="32" ht="18.75" customHeight="1">
      <c r="B32" s="12">
        <f>B18+1</f>
        <v/>
      </c>
      <c r="C32" s="11" t="inlineStr">
        <is>
          <t>έως Παρασκευή:</t>
        </is>
      </c>
      <c r="D32" s="31">
        <f>D31+4</f>
        <v/>
      </c>
      <c r="E32" s="178">
        <f>D32</f>
        <v/>
      </c>
    </row>
    <row r="34" ht="31.5" customHeight="1">
      <c r="B34" s="13" t="inlineStr">
        <is>
          <t>ΗΜΕΡΑ</t>
        </is>
      </c>
      <c r="C34" s="14" t="inlineStr">
        <is>
          <t>ΠΕΡΙΛΗΨΗ ΕΡΓΑΣΙΩΝ
 ΠΟΥ ΕΚΕΤΕΛΕΣΤΗΚΑΝ</t>
        </is>
      </c>
      <c r="D34" s="13" t="inlineStr">
        <is>
          <t>ΩΡΕΣ</t>
        </is>
      </c>
      <c r="F34" s="77" t="inlineStr">
        <is>
          <t>ΕΒΔΟΜΑΔΙΑΙΕΣ ΣΗΜΕΙΩΣΕΙΣ - ΠΑΡΑΤΗΡΗΣΕΙΣ ΑΣΚΟΥΜΕΝΟΥ</t>
        </is>
      </c>
      <c r="G34" s="164" t="n"/>
      <c r="H34" s="164" t="n"/>
      <c r="I34" s="164" t="n"/>
      <c r="J34" s="164" t="n"/>
      <c r="K34" s="164" t="n"/>
      <c r="L34" s="164" t="n"/>
      <c r="M34" s="165" t="n"/>
    </row>
    <row r="35" ht="76.5" customHeight="1">
      <c r="B35" s="24">
        <f>D31</f>
        <v/>
      </c>
      <c r="C35" s="25" t="n"/>
      <c r="D35" s="26" t="n"/>
      <c r="F35" s="179" t="n"/>
      <c r="G35" s="167" t="n"/>
      <c r="H35" s="167" t="n"/>
      <c r="I35" s="167" t="n"/>
      <c r="J35" s="167" t="n"/>
      <c r="K35" s="167" t="n"/>
      <c r="L35" s="167" t="n"/>
      <c r="M35" s="149" t="n"/>
    </row>
    <row r="36" ht="76.5" customHeight="1">
      <c r="B36" s="24">
        <f>B35+1</f>
        <v/>
      </c>
      <c r="C36" s="25" t="n"/>
      <c r="D36" s="26" t="n"/>
      <c r="F36" s="168" t="n"/>
      <c r="G36" s="169" t="n"/>
      <c r="H36" s="169" t="n"/>
      <c r="I36" s="169" t="n"/>
      <c r="J36" s="169" t="n"/>
      <c r="K36" s="169" t="n"/>
      <c r="L36" s="169" t="n"/>
      <c r="M36" s="153" t="n"/>
    </row>
    <row r="37" ht="76.5" customHeight="1">
      <c r="B37" s="24">
        <f>B36+1</f>
        <v/>
      </c>
      <c r="C37" s="25" t="n"/>
      <c r="D37" s="26" t="n"/>
    </row>
    <row r="38" ht="76.5" customHeight="1">
      <c r="B38" s="24">
        <f>B37+1</f>
        <v/>
      </c>
      <c r="C38" s="25" t="n"/>
      <c r="D38" s="26" t="n"/>
    </row>
    <row r="39" ht="76.5" customHeight="1">
      <c r="B39" s="27">
        <f>B38+1</f>
        <v/>
      </c>
      <c r="C39" s="28" t="n"/>
      <c r="D39" s="29" t="n"/>
    </row>
    <row r="40" ht="19.5" customHeight="1">
      <c r="C40" s="15" t="inlineStr">
        <is>
          <t>Σύνολο Εβδομαδιαίων Ωρών:</t>
        </is>
      </c>
      <c r="D40" s="16">
        <f>SUM(D35:D39)</f>
        <v/>
      </c>
    </row>
    <row r="41" ht="19.5" customHeight="1">
      <c r="C41" s="15" t="inlineStr">
        <is>
          <t>Ημέρες Εργασίας Εβδομάδας:</t>
        </is>
      </c>
      <c r="D41" s="16">
        <f>COUNTA(D35:D39)</f>
        <v/>
      </c>
      <c r="K41" s="17" t="inlineStr">
        <is>
          <t>Σύνολο Εργάσιμων Ημερών:</t>
        </is>
      </c>
      <c r="L41" s="18">
        <f>D41+L27</f>
        <v/>
      </c>
    </row>
    <row r="43" ht="18" customHeight="1">
      <c r="B43" s="74" t="inlineStr">
        <is>
          <t>ΕΒΔΟΜΑΔΙΑΙΟ ΦΥΛΛΟ ΠΡΑΚΤΙΚΗΣ ΑΣΚΗΣΗΣ</t>
        </is>
      </c>
    </row>
    <row r="45" ht="18.75" customHeight="1">
      <c r="B45" s="10" t="inlineStr">
        <is>
          <t>ΕΒΔΟΜΑΔΑ</t>
        </is>
      </c>
      <c r="C45" s="11" t="inlineStr">
        <is>
          <t>από Δευτέρα:</t>
        </is>
      </c>
      <c r="D45" s="32">
        <f>D31+7</f>
        <v/>
      </c>
      <c r="E45" s="178">
        <f>D45</f>
        <v/>
      </c>
    </row>
    <row r="46" ht="18.75" customHeight="1">
      <c r="B46" s="12">
        <f>B32+1</f>
        <v/>
      </c>
      <c r="C46" s="11" t="inlineStr">
        <is>
          <t>έως Παρασκευή:</t>
        </is>
      </c>
      <c r="D46" s="31">
        <f>D45+4</f>
        <v/>
      </c>
      <c r="E46" s="178">
        <f>D46</f>
        <v/>
      </c>
    </row>
    <row r="48" ht="31.5" customHeight="1">
      <c r="B48" s="13" t="inlineStr">
        <is>
          <t>ΗΜΕΡΑ</t>
        </is>
      </c>
      <c r="C48" s="14" t="inlineStr">
        <is>
          <t>ΠΕΡΙΛΗΨΗ ΕΡΓΑΣΙΩΝ
 ΠΟΥ ΕΚΕΤΕΛΕΣΤΗΚΑΝ</t>
        </is>
      </c>
      <c r="D48" s="13" t="inlineStr">
        <is>
          <t>ΩΡΕΣ</t>
        </is>
      </c>
      <c r="F48" s="77" t="inlineStr">
        <is>
          <t>ΕΒΔΟΜΑΔΙΑΙΕΣ ΣΗΜΕΙΩΣΕΙΣ - ΠΑΡΑΤΗΡΗΣΕΙΣ ΑΣΚΟΥΜΕΝΟΥ</t>
        </is>
      </c>
      <c r="G48" s="164" t="n"/>
      <c r="H48" s="164" t="n"/>
      <c r="I48" s="164" t="n"/>
      <c r="J48" s="164" t="n"/>
      <c r="K48" s="164" t="n"/>
      <c r="L48" s="164" t="n"/>
      <c r="M48" s="165" t="n"/>
    </row>
    <row r="49" ht="76.5" customHeight="1">
      <c r="B49" s="24">
        <f>D45</f>
        <v/>
      </c>
      <c r="C49" s="25" t="n"/>
      <c r="D49" s="26" t="n"/>
      <c r="F49" s="179" t="n"/>
      <c r="G49" s="167" t="n"/>
      <c r="H49" s="167" t="n"/>
      <c r="I49" s="167" t="n"/>
      <c r="J49" s="167" t="n"/>
      <c r="K49" s="167" t="n"/>
      <c r="L49" s="167" t="n"/>
      <c r="M49" s="149" t="n"/>
    </row>
    <row r="50" ht="76.5" customHeight="1">
      <c r="B50" s="24">
        <f>B49+1</f>
        <v/>
      </c>
      <c r="C50" s="25" t="n"/>
      <c r="D50" s="26" t="n"/>
      <c r="F50" s="168" t="n"/>
      <c r="G50" s="169" t="n"/>
      <c r="H50" s="169" t="n"/>
      <c r="I50" s="169" t="n"/>
      <c r="J50" s="169" t="n"/>
      <c r="K50" s="169" t="n"/>
      <c r="L50" s="169" t="n"/>
      <c r="M50" s="153" t="n"/>
    </row>
    <row r="51" ht="76.5" customHeight="1">
      <c r="B51" s="24">
        <f>B50+1</f>
        <v/>
      </c>
      <c r="C51" s="25" t="n"/>
      <c r="D51" s="26" t="n"/>
    </row>
    <row r="52" ht="76.5" customHeight="1">
      <c r="B52" s="24">
        <f>B51+1</f>
        <v/>
      </c>
      <c r="C52" s="25" t="n"/>
      <c r="D52" s="26" t="n"/>
    </row>
    <row r="53" ht="76.5" customHeight="1">
      <c r="B53" s="27">
        <f>B52+1</f>
        <v/>
      </c>
      <c r="C53" s="28" t="n"/>
      <c r="D53" s="29" t="n"/>
    </row>
    <row r="54" ht="19.5" customHeight="1">
      <c r="C54" s="15" t="inlineStr">
        <is>
          <t>Σύνολο Εβδομαδιαίων Ωρών:</t>
        </is>
      </c>
      <c r="D54" s="16">
        <f>SUM(D49:D53)</f>
        <v/>
      </c>
    </row>
    <row r="55" ht="19.5" customHeight="1">
      <c r="C55" s="15" t="inlineStr">
        <is>
          <t>Ημέρες Εργασίας Εβδομάδας:</t>
        </is>
      </c>
      <c r="D55" s="16">
        <f>COUNTA(D49:D53)</f>
        <v/>
      </c>
      <c r="K55" s="17" t="inlineStr">
        <is>
          <t>Σύνολο Εργάσιμων Ημερών:</t>
        </is>
      </c>
      <c r="L55" s="18">
        <f>D55+L41</f>
        <v/>
      </c>
    </row>
    <row r="57" ht="18" customHeight="1">
      <c r="B57" s="74" t="inlineStr">
        <is>
          <t>ΕΒΔΟΜΑΔΙΑΙΟ ΦΥΛΛΟ ΠΡΑΚΤΙΚΗΣ ΑΣΚΗΣΗΣ</t>
        </is>
      </c>
    </row>
    <row r="59" ht="18.75" customHeight="1">
      <c r="B59" s="10" t="inlineStr">
        <is>
          <t>ΕΒΔΟΜΑΔΑ</t>
        </is>
      </c>
      <c r="C59" s="11" t="inlineStr">
        <is>
          <t>από Δευτέρα:</t>
        </is>
      </c>
      <c r="D59" s="32">
        <f>D45+7</f>
        <v/>
      </c>
      <c r="E59" s="178">
        <f>D59</f>
        <v/>
      </c>
    </row>
    <row r="60" ht="18.75" customHeight="1">
      <c r="B60" s="12">
        <f>B46+1</f>
        <v/>
      </c>
      <c r="C60" s="11" t="inlineStr">
        <is>
          <t>έως Παρασκευή:</t>
        </is>
      </c>
      <c r="D60" s="31">
        <f>D59+4</f>
        <v/>
      </c>
      <c r="E60" s="178">
        <f>D60</f>
        <v/>
      </c>
    </row>
    <row r="62" ht="31.5" customHeight="1">
      <c r="B62" s="13" t="inlineStr">
        <is>
          <t>ΗΜΕΡΑ</t>
        </is>
      </c>
      <c r="C62" s="14" t="inlineStr">
        <is>
          <t>ΠΕΡΙΛΗΨΗ ΕΡΓΑΣΙΩΝ
 ΠΟΥ ΕΚΕΤΕΛΕΣΤΗΚΑΝ</t>
        </is>
      </c>
      <c r="D62" s="13" t="inlineStr">
        <is>
          <t>ΩΡΕΣ</t>
        </is>
      </c>
      <c r="F62" s="77" t="inlineStr">
        <is>
          <t>ΕΒΔΟΜΑΔΙΑΙΕΣ ΣΗΜΕΙΩΣΕΙΣ - ΠΑΡΑΤΗΡΗΣΕΙΣ ΑΣΚΟΥΜΕΝΟΥ</t>
        </is>
      </c>
      <c r="G62" s="164" t="n"/>
      <c r="H62" s="164" t="n"/>
      <c r="I62" s="164" t="n"/>
      <c r="J62" s="164" t="n"/>
      <c r="K62" s="164" t="n"/>
      <c r="L62" s="164" t="n"/>
      <c r="M62" s="165" t="n"/>
    </row>
    <row r="63" ht="76.5" customHeight="1">
      <c r="B63" s="24">
        <f>D59</f>
        <v/>
      </c>
      <c r="C63" s="25" t="n"/>
      <c r="D63" s="26" t="n"/>
      <c r="F63" s="179" t="n"/>
      <c r="G63" s="167" t="n"/>
      <c r="H63" s="167" t="n"/>
      <c r="I63" s="167" t="n"/>
      <c r="J63" s="167" t="n"/>
      <c r="K63" s="167" t="n"/>
      <c r="L63" s="167" t="n"/>
      <c r="M63" s="149" t="n"/>
    </row>
    <row r="64" ht="76.5" customHeight="1">
      <c r="B64" s="24">
        <f>B63+1</f>
        <v/>
      </c>
      <c r="C64" s="25" t="n"/>
      <c r="D64" s="26" t="n"/>
      <c r="F64" s="168" t="n"/>
      <c r="G64" s="169" t="n"/>
      <c r="H64" s="169" t="n"/>
      <c r="I64" s="169" t="n"/>
      <c r="J64" s="169" t="n"/>
      <c r="K64" s="169" t="n"/>
      <c r="L64" s="169" t="n"/>
      <c r="M64" s="153" t="n"/>
    </row>
    <row r="65" ht="76.5" customHeight="1">
      <c r="B65" s="24">
        <f>B64+1</f>
        <v/>
      </c>
      <c r="C65" s="25" t="n"/>
      <c r="D65" s="26" t="n"/>
    </row>
    <row r="66" ht="76.5" customHeight="1">
      <c r="B66" s="24">
        <f>B65+1</f>
        <v/>
      </c>
      <c r="C66" s="25" t="n"/>
      <c r="D66" s="26" t="n"/>
    </row>
    <row r="67" ht="76.5" customHeight="1">
      <c r="B67" s="27">
        <f>B66+1</f>
        <v/>
      </c>
      <c r="C67" s="28" t="n"/>
      <c r="D67" s="29" t="n"/>
    </row>
    <row r="68" ht="19.5" customHeight="1">
      <c r="C68" s="15" t="inlineStr">
        <is>
          <t>Σύνολο Εβδομαδιαίων Ωρών:</t>
        </is>
      </c>
      <c r="D68" s="16">
        <f>SUM(D63:D67)</f>
        <v/>
      </c>
    </row>
    <row r="69" ht="19.5" customHeight="1">
      <c r="C69" s="15" t="inlineStr">
        <is>
          <t>Ημέρες Εργασίας Εβδομάδας:</t>
        </is>
      </c>
      <c r="D69" s="16">
        <f>COUNTA(D63:D67)</f>
        <v/>
      </c>
      <c r="K69" s="17" t="inlineStr">
        <is>
          <t>Σύνολο Εργάσιμων Ημερών:</t>
        </is>
      </c>
      <c r="L69" s="18">
        <f>D69+L55</f>
        <v/>
      </c>
    </row>
    <row r="73" ht="16.5" customHeight="1">
      <c r="B73" s="181" t="inlineStr">
        <is>
          <t>ΜΗΝΙΑΙΑ ΕΚΘΕΣΗ ΕΡΓΑΣΙΑΚΩΝ ΕΜΠΕΙΡΙΩΝ ΑΣΚΟΥΜΕΝΟΥ</t>
        </is>
      </c>
      <c r="C73" s="164" t="n"/>
      <c r="D73" s="165" t="n"/>
    </row>
    <row r="74" ht="150" customHeight="1">
      <c r="B74" s="166" t="n"/>
      <c r="C74" s="182" t="n"/>
      <c r="D74" s="183" t="n"/>
    </row>
    <row r="77" ht="16.5" customHeight="1">
      <c r="B77" s="181" t="inlineStr">
        <is>
          <t>ΜΗΝΙΑΙΑ ΕΚΘΕΣΗ ΕΠΟΠΤΗ ΕΚΠΑΙΔΕΥΤΙΚΟΥ</t>
        </is>
      </c>
      <c r="C77" s="164" t="n"/>
      <c r="D77" s="165" t="n"/>
    </row>
    <row r="78" ht="150" customHeight="1">
      <c r="B78" s="184" t="n"/>
      <c r="C78" s="182" t="n"/>
      <c r="D78" s="183" t="n"/>
    </row>
  </sheetData>
  <sheetProtection selectLockedCells="1" selectUnlockedCells="0" algorithmName="SHA-512" sheet="1" objects="1" insertRows="1" insertHyperlinks="1" autoFilter="1" scenarios="1" formatColumns="1" deleteColumns="1" insertColumns="1" pivotTables="1" deleteRows="1" formatCells="1" saltValue="UKNxj76Z5vlMXjYMFIAwTQ==" formatRows="1" sort="1" spinCount="100000" hashValue="mI+YZYdoorSiSq6hn0FFkMaSAkDmBOOSJGsnIwZspkw77mfSXLKhsWpwM+2hlYe6szTS2n1TJyrI6VUr0+LzSw=="/>
  <mergeCells count="30">
    <mergeCell ref="F35:M36"/>
    <mergeCell ref="E60:G60"/>
    <mergeCell ref="B57:D57"/>
    <mergeCell ref="B1:D1"/>
    <mergeCell ref="E31:G31"/>
    <mergeCell ref="F34:M34"/>
    <mergeCell ref="B73:D73"/>
    <mergeCell ref="F6:M6"/>
    <mergeCell ref="B78:D78"/>
    <mergeCell ref="B29:D29"/>
    <mergeCell ref="E59:G59"/>
    <mergeCell ref="E46:G46"/>
    <mergeCell ref="E45:G45"/>
    <mergeCell ref="F20:M20"/>
    <mergeCell ref="B74:D74"/>
    <mergeCell ref="F49:M50"/>
    <mergeCell ref="B15:D15"/>
    <mergeCell ref="E32:G32"/>
    <mergeCell ref="F62:M62"/>
    <mergeCell ref="F7:M8"/>
    <mergeCell ref="F63:M64"/>
    <mergeCell ref="E18:G18"/>
    <mergeCell ref="E3:G3"/>
    <mergeCell ref="F48:M48"/>
    <mergeCell ref="E17:G17"/>
    <mergeCell ref="E4:G4"/>
    <mergeCell ref="B43:D43"/>
    <mergeCell ref="B77:D77"/>
    <mergeCell ref="F9:M11"/>
    <mergeCell ref="F21:M22"/>
  </mergeCells>
  <conditionalFormatting sqref="E3:G3">
    <cfRule type="cellIs" priority="2" operator="notEqual" dxfId="0">
      <formula>2</formula>
    </cfRule>
  </conditionalFormatting>
  <conditionalFormatting sqref="E4:G4">
    <cfRule type="cellIs" priority="1" operator="notEqual" dxfId="0">
      <formula>6</formula>
    </cfRule>
  </conditionalFormatting>
  <pageMargins left="0.12" right="0.2" top="0.33" bottom="0.28" header="0.17" footer="0.14"/>
  <pageSetup orientation="landscape" paperSize="9" horizontalDpi="4294967293" verticalDpi="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B1:N78"/>
  <sheetViews>
    <sheetView topLeftCell="A10" workbookViewId="0">
      <selection activeCell="C24" sqref="C24"/>
    </sheetView>
  </sheetViews>
  <sheetFormatPr baseColWidth="8" defaultRowHeight="15"/>
  <cols>
    <col width="1.42578125" customWidth="1" min="1" max="1"/>
    <col width="14.28515625" customWidth="1" style="1" min="2" max="2"/>
    <col width="48.5703125" customWidth="1" min="3" max="3"/>
    <col width="12.140625" customWidth="1" style="1" min="4" max="4"/>
    <col width="2.7109375" customWidth="1" min="5" max="5"/>
    <col width="8" customWidth="1" min="6" max="13"/>
  </cols>
  <sheetData>
    <row r="1" ht="18" customHeight="1">
      <c r="B1" s="74" t="inlineStr">
        <is>
          <t>ΕΒΔΟΜΑΔΙΑΙΟ ΦΥΛΛΟ ΠΡΑΚΤΙΚΗΣ ΑΣΚΗΣΗΣ</t>
        </is>
      </c>
    </row>
    <row r="3" ht="18.75" customHeight="1">
      <c r="B3" s="10" t="inlineStr">
        <is>
          <t>ΕΒΔΟΜΑΔΑ</t>
        </is>
      </c>
      <c r="C3" s="11" t="inlineStr">
        <is>
          <t>από Δευτέρα:</t>
        </is>
      </c>
      <c r="D3" s="185" t="n">
        <v>46202</v>
      </c>
      <c r="E3" s="163">
        <f>WEEKDAY(D3)</f>
        <v/>
      </c>
    </row>
    <row r="4" ht="18.75" customHeight="1">
      <c r="B4" s="34">
        <f>('4ος'!D3-'Στοιχεία Πρακτικής'!C21)/7 + 1</f>
        <v/>
      </c>
      <c r="C4" s="11" t="inlineStr">
        <is>
          <t>έως Παρασκευή:</t>
        </is>
      </c>
      <c r="D4" s="31">
        <f>D3+4</f>
        <v/>
      </c>
      <c r="E4" s="163">
        <f>WEEKDAY(D4)</f>
        <v/>
      </c>
    </row>
    <row r="6" ht="31.5" customHeight="1">
      <c r="B6" s="13" t="inlineStr">
        <is>
          <t>ΗΜΕΡΑ</t>
        </is>
      </c>
      <c r="C6" s="14" t="inlineStr">
        <is>
          <t>ΠΕΡΙΛΗΨΗ ΕΡΓΑΣΙΩΝ
 ΠΟΥ ΕΚΕΤΕΛΕΣΤΗΚΑΝ</t>
        </is>
      </c>
      <c r="D6" s="13" t="inlineStr">
        <is>
          <t>ΩΡΕΣ</t>
        </is>
      </c>
      <c r="F6" s="77" t="inlineStr">
        <is>
          <t>ΕΒΔΟΜΑΔΙΑΙΕΣ ΣΗΜΕΙΩΣΕΙΣ - ΠΑΡΑΤΗΡΗΣΕΙΣ ΑΣΚΟΥΜΕΝΟΥ</t>
        </is>
      </c>
      <c r="G6" s="164" t="n"/>
      <c r="H6" s="164" t="n"/>
      <c r="I6" s="164" t="n"/>
      <c r="J6" s="164" t="n"/>
      <c r="K6" s="164" t="n"/>
      <c r="L6" s="164" t="n"/>
      <c r="M6" s="165" t="n"/>
    </row>
    <row r="7" ht="76.5" customHeight="1">
      <c r="B7" s="24">
        <f>D3</f>
        <v/>
      </c>
      <c r="C7" s="22" t="n"/>
      <c r="D7" s="26" t="n"/>
      <c r="F7" s="166" t="n"/>
      <c r="G7" s="167" t="n"/>
      <c r="H7" s="167" t="n"/>
      <c r="I7" s="167" t="n"/>
      <c r="J7" s="167" t="n"/>
      <c r="K7" s="167" t="n"/>
      <c r="L7" s="167" t="n"/>
      <c r="M7" s="149" t="n"/>
    </row>
    <row r="8" ht="76.5" customHeight="1">
      <c r="B8" s="24">
        <f>B7+1</f>
        <v/>
      </c>
      <c r="C8" s="22" t="n"/>
      <c r="D8" s="26" t="n"/>
      <c r="F8" s="168" t="n"/>
      <c r="G8" s="169" t="n"/>
      <c r="H8" s="169" t="n"/>
      <c r="I8" s="169" t="n"/>
      <c r="J8" s="169" t="n"/>
      <c r="K8" s="169" t="n"/>
      <c r="L8" s="169" t="n"/>
      <c r="M8" s="153" t="n"/>
    </row>
    <row r="9" ht="76.5" customHeight="1">
      <c r="B9" s="24">
        <f>B8+1</f>
        <v/>
      </c>
      <c r="C9" s="22" t="n"/>
      <c r="D9" s="26" t="n"/>
      <c r="F9" s="180">
        <f>'1ος'!F9:M11</f>
        <v/>
      </c>
      <c r="G9" s="171" t="n"/>
      <c r="H9" s="171" t="n"/>
      <c r="I9" s="171" t="n"/>
      <c r="J9" s="171" t="n"/>
      <c r="K9" s="171" t="n"/>
      <c r="L9" s="171" t="n"/>
      <c r="M9" s="172" t="n"/>
    </row>
    <row r="10" ht="76.5" customHeight="1">
      <c r="B10" s="24">
        <f>B9+1</f>
        <v/>
      </c>
      <c r="C10" s="22" t="n"/>
      <c r="D10" s="26" t="n"/>
      <c r="F10" s="173" t="n"/>
      <c r="M10" s="174" t="n"/>
    </row>
    <row r="11" ht="76.5" customHeight="1">
      <c r="B11" s="27">
        <f>B10+1</f>
        <v/>
      </c>
      <c r="C11" s="23" t="n"/>
      <c r="D11" s="29" t="n"/>
      <c r="F11" s="175" t="n"/>
      <c r="G11" s="176" t="n"/>
      <c r="H11" s="176" t="n"/>
      <c r="I11" s="176" t="n"/>
      <c r="J11" s="176" t="n"/>
      <c r="K11" s="176" t="n"/>
      <c r="L11" s="176" t="n"/>
      <c r="M11" s="177" t="n"/>
    </row>
    <row r="12" ht="19.5" customHeight="1">
      <c r="C12" s="15" t="inlineStr">
        <is>
          <t>Σύνολο Εβδομαδιαίων Ωρών:</t>
        </is>
      </c>
      <c r="D12" s="16">
        <f>SUM(D7:D11)</f>
        <v/>
      </c>
    </row>
    <row r="13" ht="19.5" customHeight="1">
      <c r="C13" s="15" t="inlineStr">
        <is>
          <t>Ημέρες Εργασίας Εβδομάδας:</t>
        </is>
      </c>
      <c r="D13" s="16">
        <f>COUNTA(D7:D11)</f>
        <v/>
      </c>
      <c r="K13" s="17" t="inlineStr">
        <is>
          <t>Σύνολο Εργάσιμων Ημερών:</t>
        </is>
      </c>
      <c r="L13" s="18">
        <f>D13+'3ος'!L69</f>
        <v/>
      </c>
    </row>
    <row r="14">
      <c r="N14" s="1" t="n"/>
    </row>
    <row r="15" ht="18" customHeight="1">
      <c r="B15" s="74" t="inlineStr">
        <is>
          <t>ΕΒΔΟΜΑΔΙΑΙΟ ΦΥΛΛΟ ΠΡΑΚΤΙΚΗΣ ΑΣΚΗΣΗΣ</t>
        </is>
      </c>
    </row>
    <row r="17" ht="18.75" customHeight="1">
      <c r="B17" s="10" t="inlineStr">
        <is>
          <t>ΕΒΔΟΜΑΔΑ</t>
        </is>
      </c>
      <c r="C17" s="11" t="inlineStr">
        <is>
          <t>από Δευτέρα:</t>
        </is>
      </c>
      <c r="D17" s="32">
        <f>D3+7</f>
        <v/>
      </c>
      <c r="E17" s="178">
        <f>D17</f>
        <v/>
      </c>
    </row>
    <row r="18" ht="18.75" customHeight="1">
      <c r="B18" s="12">
        <f>B4+1</f>
        <v/>
      </c>
      <c r="C18" s="11" t="inlineStr">
        <is>
          <t>έως Παρασκευή:</t>
        </is>
      </c>
      <c r="D18" s="31">
        <f>D17+4</f>
        <v/>
      </c>
      <c r="E18" s="178">
        <f>D18</f>
        <v/>
      </c>
    </row>
    <row r="20" ht="31.5" customHeight="1">
      <c r="B20" s="13" t="inlineStr">
        <is>
          <t>ΗΜΕΡΑ</t>
        </is>
      </c>
      <c r="C20" s="14" t="inlineStr">
        <is>
          <t>ΠΕΡΙΛΗΨΗ ΕΡΓΑΣΙΩΝ
 ΠΟΥ ΕΚΕΤΕΛΕΣΤΗΚΑΝ</t>
        </is>
      </c>
      <c r="D20" s="13" t="inlineStr">
        <is>
          <t>ΩΡΕΣ</t>
        </is>
      </c>
      <c r="F20" s="77" t="inlineStr">
        <is>
          <t>ΕΒΔΟΜΑΔΙΑΙΕΣ ΣΗΜΕΙΩΣΕΙΣ - ΠΑΡΑΤΗΡΗΣΕΙΣ ΑΣΚΟΥΜΕΝΟΥ</t>
        </is>
      </c>
      <c r="G20" s="164" t="n"/>
      <c r="H20" s="164" t="n"/>
      <c r="I20" s="164" t="n"/>
      <c r="J20" s="164" t="n"/>
      <c r="K20" s="164" t="n"/>
      <c r="L20" s="164" t="n"/>
      <c r="M20" s="165" t="n"/>
    </row>
    <row r="21" ht="76.5" customHeight="1">
      <c r="B21" s="24">
        <f>D17</f>
        <v/>
      </c>
      <c r="C21" s="22" t="n"/>
      <c r="D21" s="26" t="n"/>
      <c r="F21" s="179" t="n"/>
      <c r="G21" s="167" t="n"/>
      <c r="H21" s="167" t="n"/>
      <c r="I21" s="167" t="n"/>
      <c r="J21" s="167" t="n"/>
      <c r="K21" s="167" t="n"/>
      <c r="L21" s="167" t="n"/>
      <c r="M21" s="149" t="n"/>
    </row>
    <row r="22" ht="76.5" customHeight="1">
      <c r="B22" s="24">
        <f>B21+1</f>
        <v/>
      </c>
      <c r="C22" s="22" t="n"/>
      <c r="D22" s="26" t="n"/>
      <c r="F22" s="168" t="n"/>
      <c r="G22" s="169" t="n"/>
      <c r="H22" s="169" t="n"/>
      <c r="I22" s="169" t="n"/>
      <c r="J22" s="169" t="n"/>
      <c r="K22" s="169" t="n"/>
      <c r="L22" s="169" t="n"/>
      <c r="M22" s="153" t="n"/>
    </row>
    <row r="23" ht="76.5" customHeight="1">
      <c r="B23" s="24">
        <f>B22+1</f>
        <v/>
      </c>
      <c r="C23" s="22" t="n"/>
      <c r="D23" s="26" t="n"/>
    </row>
    <row r="24" ht="76.5" customHeight="1">
      <c r="B24" s="24">
        <f>B23+1</f>
        <v/>
      </c>
      <c r="C24" s="22" t="n"/>
      <c r="D24" s="26" t="n"/>
    </row>
    <row r="25" ht="76.5" customHeight="1">
      <c r="B25" s="27">
        <f>B24+1</f>
        <v/>
      </c>
      <c r="C25" s="23" t="n"/>
      <c r="D25" s="29" t="n"/>
    </row>
    <row r="26" ht="19.5" customHeight="1">
      <c r="C26" s="15" t="inlineStr">
        <is>
          <t>Σύνολο Εβδομαδιαίων Ωρών:</t>
        </is>
      </c>
      <c r="D26" s="16">
        <f>SUM(D21:D25)</f>
        <v/>
      </c>
    </row>
    <row r="27" ht="19.5" customHeight="1">
      <c r="C27" s="15" t="inlineStr">
        <is>
          <t>Ημέρες Εργασίας Εβδομάδας:</t>
        </is>
      </c>
      <c r="D27" s="16">
        <f>COUNTA(D21:D25)</f>
        <v/>
      </c>
      <c r="K27" s="17" t="inlineStr">
        <is>
          <t>Σύνολο Εργάσιμων Ημερών:</t>
        </is>
      </c>
      <c r="L27" s="18">
        <f>D27+L13</f>
        <v/>
      </c>
    </row>
    <row r="29" ht="18" customHeight="1">
      <c r="B29" s="74" t="inlineStr">
        <is>
          <t>ΕΒΔΟΜΑΔΙΑΙΟ ΦΥΛΛΟ ΠΡΑΚΤΙΚΗΣ ΑΣΚΗΣΗΣ</t>
        </is>
      </c>
    </row>
    <row r="31" ht="18.75" customHeight="1">
      <c r="B31" s="10" t="inlineStr">
        <is>
          <t>ΕΒΔΟΜΑΔΑ</t>
        </is>
      </c>
      <c r="C31" s="11" t="inlineStr">
        <is>
          <t>από Δευτέρα:</t>
        </is>
      </c>
      <c r="D31" s="32">
        <f>D17+7</f>
        <v/>
      </c>
      <c r="E31" s="178">
        <f>D31</f>
        <v/>
      </c>
    </row>
    <row r="32" ht="18.75" customHeight="1">
      <c r="B32" s="12">
        <f>B18+1</f>
        <v/>
      </c>
      <c r="C32" s="11" t="inlineStr">
        <is>
          <t>έως Παρασκευή:</t>
        </is>
      </c>
      <c r="D32" s="31">
        <f>D31+4</f>
        <v/>
      </c>
      <c r="E32" s="178">
        <f>D32</f>
        <v/>
      </c>
    </row>
    <row r="34" ht="31.5" customHeight="1">
      <c r="B34" s="13" t="inlineStr">
        <is>
          <t>ΗΜΕΡΑ</t>
        </is>
      </c>
      <c r="C34" s="14" t="inlineStr">
        <is>
          <t>ΠΕΡΙΛΗΨΗ ΕΡΓΑΣΙΩΝ
 ΠΟΥ ΕΚΕΤΕΛΕΣΤΗΚΑΝ</t>
        </is>
      </c>
      <c r="D34" s="13" t="inlineStr">
        <is>
          <t>ΩΡΕΣ</t>
        </is>
      </c>
      <c r="F34" s="77" t="inlineStr">
        <is>
          <t>ΕΒΔΟΜΑΔΙΑΙΕΣ ΣΗΜΕΙΩΣΕΙΣ - ΠΑΡΑΤΗΡΗΣΕΙΣ ΑΣΚΟΥΜΕΝΟΥ</t>
        </is>
      </c>
      <c r="G34" s="164" t="n"/>
      <c r="H34" s="164" t="n"/>
      <c r="I34" s="164" t="n"/>
      <c r="J34" s="164" t="n"/>
      <c r="K34" s="164" t="n"/>
      <c r="L34" s="164" t="n"/>
      <c r="M34" s="165" t="n"/>
    </row>
    <row r="35" ht="76.5" customHeight="1">
      <c r="B35" s="24">
        <f>D31</f>
        <v/>
      </c>
      <c r="C35" s="25" t="n"/>
      <c r="D35" s="26" t="n"/>
      <c r="F35" s="179" t="n"/>
      <c r="G35" s="167" t="n"/>
      <c r="H35" s="167" t="n"/>
      <c r="I35" s="167" t="n"/>
      <c r="J35" s="167" t="n"/>
      <c r="K35" s="167" t="n"/>
      <c r="L35" s="167" t="n"/>
      <c r="M35" s="149" t="n"/>
    </row>
    <row r="36" ht="76.5" customHeight="1">
      <c r="B36" s="24">
        <f>B35+1</f>
        <v/>
      </c>
      <c r="C36" s="25" t="n"/>
      <c r="D36" s="26" t="n"/>
      <c r="F36" s="168" t="n"/>
      <c r="G36" s="169" t="n"/>
      <c r="H36" s="169" t="n"/>
      <c r="I36" s="169" t="n"/>
      <c r="J36" s="169" t="n"/>
      <c r="K36" s="169" t="n"/>
      <c r="L36" s="169" t="n"/>
      <c r="M36" s="153" t="n"/>
    </row>
    <row r="37" ht="76.5" customHeight="1">
      <c r="B37" s="24">
        <f>B36+1</f>
        <v/>
      </c>
      <c r="C37" s="25" t="n"/>
      <c r="D37" s="26" t="n"/>
    </row>
    <row r="38" ht="76.5" customHeight="1">
      <c r="B38" s="24">
        <f>B37+1</f>
        <v/>
      </c>
      <c r="C38" s="25" t="n"/>
      <c r="D38" s="26" t="n"/>
    </row>
    <row r="39" ht="76.5" customHeight="1">
      <c r="B39" s="27">
        <f>B38+1</f>
        <v/>
      </c>
      <c r="C39" s="28" t="n"/>
      <c r="D39" s="29" t="n"/>
    </row>
    <row r="40" ht="19.5" customHeight="1">
      <c r="C40" s="15" t="inlineStr">
        <is>
          <t>Σύνολο Εβδομαδιαίων Ωρών:</t>
        </is>
      </c>
      <c r="D40" s="16">
        <f>SUM(D35:D39)</f>
        <v/>
      </c>
    </row>
    <row r="41" ht="19.5" customHeight="1">
      <c r="C41" s="15" t="inlineStr">
        <is>
          <t>Ημέρες Εργασίας Εβδομάδας:</t>
        </is>
      </c>
      <c r="D41" s="16">
        <f>COUNTA(D35:D39)</f>
        <v/>
      </c>
      <c r="K41" s="17" t="inlineStr">
        <is>
          <t>Σύνολο Εργάσιμων Ημερών:</t>
        </is>
      </c>
      <c r="L41" s="18">
        <f>D41+L27</f>
        <v/>
      </c>
    </row>
    <row r="43" ht="18" customHeight="1">
      <c r="B43" s="74" t="inlineStr">
        <is>
          <t>ΕΒΔΟΜΑΔΙΑΙΟ ΦΥΛΛΟ ΠΡΑΚΤΙΚΗΣ ΑΣΚΗΣΗΣ</t>
        </is>
      </c>
    </row>
    <row r="45" ht="18.75" customHeight="1">
      <c r="B45" s="10" t="inlineStr">
        <is>
          <t>ΕΒΔΟΜΑΔΑ</t>
        </is>
      </c>
      <c r="C45" s="11" t="inlineStr">
        <is>
          <t>από Δευτέρα:</t>
        </is>
      </c>
      <c r="D45" s="32">
        <f>D31+7</f>
        <v/>
      </c>
      <c r="E45" s="178">
        <f>D45</f>
        <v/>
      </c>
    </row>
    <row r="46" ht="18.75" customHeight="1">
      <c r="B46" s="12">
        <f>B32+1</f>
        <v/>
      </c>
      <c r="C46" s="11" t="inlineStr">
        <is>
          <t>έως Παρασκευή:</t>
        </is>
      </c>
      <c r="D46" s="31">
        <f>D45+4</f>
        <v/>
      </c>
      <c r="E46" s="178">
        <f>D46</f>
        <v/>
      </c>
    </row>
    <row r="48" ht="31.5" customHeight="1">
      <c r="B48" s="13" t="inlineStr">
        <is>
          <t>ΗΜΕΡΑ</t>
        </is>
      </c>
      <c r="C48" s="14" t="inlineStr">
        <is>
          <t>ΠΕΡΙΛΗΨΗ ΕΡΓΑΣΙΩΝ
 ΠΟΥ ΕΚΕΤΕΛΕΣΤΗΚΑΝ</t>
        </is>
      </c>
      <c r="D48" s="13" t="inlineStr">
        <is>
          <t>ΩΡΕΣ</t>
        </is>
      </c>
      <c r="F48" s="77" t="inlineStr">
        <is>
          <t>ΕΒΔΟΜΑΔΙΑΙΕΣ ΣΗΜΕΙΩΣΕΙΣ - ΠΑΡΑΤΗΡΗΣΕΙΣ ΑΣΚΟΥΜΕΝΟΥ</t>
        </is>
      </c>
      <c r="G48" s="164" t="n"/>
      <c r="H48" s="164" t="n"/>
      <c r="I48" s="164" t="n"/>
      <c r="J48" s="164" t="n"/>
      <c r="K48" s="164" t="n"/>
      <c r="L48" s="164" t="n"/>
      <c r="M48" s="165" t="n"/>
    </row>
    <row r="49" ht="76.5" customHeight="1">
      <c r="B49" s="24">
        <f>D45</f>
        <v/>
      </c>
      <c r="C49" s="25" t="n"/>
      <c r="D49" s="26" t="n"/>
      <c r="F49" s="179" t="n"/>
      <c r="G49" s="167" t="n"/>
      <c r="H49" s="167" t="n"/>
      <c r="I49" s="167" t="n"/>
      <c r="J49" s="167" t="n"/>
      <c r="K49" s="167" t="n"/>
      <c r="L49" s="167" t="n"/>
      <c r="M49" s="149" t="n"/>
    </row>
    <row r="50" ht="76.5" customHeight="1">
      <c r="B50" s="24">
        <f>B49+1</f>
        <v/>
      </c>
      <c r="C50" s="25" t="n"/>
      <c r="D50" s="26" t="n"/>
      <c r="F50" s="168" t="n"/>
      <c r="G50" s="169" t="n"/>
      <c r="H50" s="169" t="n"/>
      <c r="I50" s="169" t="n"/>
      <c r="J50" s="169" t="n"/>
      <c r="K50" s="169" t="n"/>
      <c r="L50" s="169" t="n"/>
      <c r="M50" s="153" t="n"/>
    </row>
    <row r="51" ht="76.5" customHeight="1">
      <c r="B51" s="24">
        <f>B50+1</f>
        <v/>
      </c>
      <c r="C51" s="25" t="n"/>
      <c r="D51" s="26" t="n"/>
    </row>
    <row r="52" ht="76.5" customHeight="1">
      <c r="B52" s="24">
        <f>B51+1</f>
        <v/>
      </c>
      <c r="C52" s="25" t="n"/>
      <c r="D52" s="26" t="n"/>
    </row>
    <row r="53" ht="76.5" customHeight="1">
      <c r="B53" s="27">
        <f>B52+1</f>
        <v/>
      </c>
      <c r="C53" s="28" t="n"/>
      <c r="D53" s="29" t="n"/>
    </row>
    <row r="54" ht="19.5" customHeight="1">
      <c r="C54" s="15" t="inlineStr">
        <is>
          <t>Σύνολο Εβδομαδιαίων Ωρών:</t>
        </is>
      </c>
      <c r="D54" s="16">
        <f>SUM(D49:D53)</f>
        <v/>
      </c>
    </row>
    <row r="55" ht="19.5" customHeight="1">
      <c r="C55" s="15" t="inlineStr">
        <is>
          <t>Ημέρες Εργασίας Εβδομάδας:</t>
        </is>
      </c>
      <c r="D55" s="16">
        <f>COUNTA(D49:D53)</f>
        <v/>
      </c>
      <c r="K55" s="17" t="inlineStr">
        <is>
          <t>Σύνολο Εργάσιμων Ημερών:</t>
        </is>
      </c>
      <c r="L55" s="18">
        <f>D55+L41</f>
        <v/>
      </c>
    </row>
    <row r="57" ht="18" customHeight="1">
      <c r="B57" s="74" t="inlineStr">
        <is>
          <t>ΕΒΔΟΜΑΔΙΑΙΟ ΦΥΛΛΟ ΠΡΑΚΤΙΚΗΣ ΑΣΚΗΣΗΣ</t>
        </is>
      </c>
    </row>
    <row r="59" ht="18.75" customHeight="1">
      <c r="B59" s="10" t="inlineStr">
        <is>
          <t>ΕΒΔΟΜΑΔΑ</t>
        </is>
      </c>
      <c r="C59" s="11" t="inlineStr">
        <is>
          <t>από Δευτέρα:</t>
        </is>
      </c>
      <c r="D59" s="32">
        <f>D45+7</f>
        <v/>
      </c>
      <c r="E59" s="178">
        <f>D59</f>
        <v/>
      </c>
    </row>
    <row r="60" ht="18.75" customHeight="1">
      <c r="B60" s="12">
        <f>B46+1</f>
        <v/>
      </c>
      <c r="C60" s="11" t="inlineStr">
        <is>
          <t>έως Παρασκευή:</t>
        </is>
      </c>
      <c r="D60" s="31">
        <f>D59+4</f>
        <v/>
      </c>
      <c r="E60" s="178">
        <f>D60</f>
        <v/>
      </c>
    </row>
    <row r="62" ht="31.5" customHeight="1">
      <c r="B62" s="13" t="inlineStr">
        <is>
          <t>ΗΜΕΡΑ</t>
        </is>
      </c>
      <c r="C62" s="14" t="inlineStr">
        <is>
          <t>ΠΕΡΙΛΗΨΗ ΕΡΓΑΣΙΩΝ
 ΠΟΥ ΕΚΕΤΕΛΕΣΤΗΚΑΝ</t>
        </is>
      </c>
      <c r="D62" s="13" t="inlineStr">
        <is>
          <t>ΩΡΕΣ</t>
        </is>
      </c>
      <c r="F62" s="77" t="inlineStr">
        <is>
          <t>ΕΒΔΟΜΑΔΙΑΙΕΣ ΣΗΜΕΙΩΣΕΙΣ - ΠΑΡΑΤΗΡΗΣΕΙΣ ΑΣΚΟΥΜΕΝΟΥ</t>
        </is>
      </c>
      <c r="G62" s="164" t="n"/>
      <c r="H62" s="164" t="n"/>
      <c r="I62" s="164" t="n"/>
      <c r="J62" s="164" t="n"/>
      <c r="K62" s="164" t="n"/>
      <c r="L62" s="164" t="n"/>
      <c r="M62" s="165" t="n"/>
    </row>
    <row r="63" ht="76.5" customHeight="1">
      <c r="B63" s="24">
        <f>D59</f>
        <v/>
      </c>
      <c r="C63" s="25" t="n"/>
      <c r="D63" s="26" t="n"/>
      <c r="F63" s="179" t="n"/>
      <c r="G63" s="167" t="n"/>
      <c r="H63" s="167" t="n"/>
      <c r="I63" s="167" t="n"/>
      <c r="J63" s="167" t="n"/>
      <c r="K63" s="167" t="n"/>
      <c r="L63" s="167" t="n"/>
      <c r="M63" s="149" t="n"/>
    </row>
    <row r="64" ht="76.5" customHeight="1">
      <c r="B64" s="24">
        <f>B63+1</f>
        <v/>
      </c>
      <c r="C64" s="25" t="n"/>
      <c r="D64" s="26" t="n"/>
      <c r="F64" s="168" t="n"/>
      <c r="G64" s="169" t="n"/>
      <c r="H64" s="169" t="n"/>
      <c r="I64" s="169" t="n"/>
      <c r="J64" s="169" t="n"/>
      <c r="K64" s="169" t="n"/>
      <c r="L64" s="169" t="n"/>
      <c r="M64" s="153" t="n"/>
    </row>
    <row r="65" ht="76.5" customHeight="1">
      <c r="B65" s="24">
        <f>B64+1</f>
        <v/>
      </c>
      <c r="C65" s="25" t="n"/>
      <c r="D65" s="26" t="n"/>
    </row>
    <row r="66" ht="76.5" customHeight="1">
      <c r="B66" s="24">
        <f>B65+1</f>
        <v/>
      </c>
      <c r="C66" s="25" t="n"/>
      <c r="D66" s="26" t="n"/>
    </row>
    <row r="67" ht="76.5" customHeight="1">
      <c r="B67" s="27">
        <f>B66+1</f>
        <v/>
      </c>
      <c r="C67" s="28" t="n"/>
      <c r="D67" s="29" t="n"/>
    </row>
    <row r="68" ht="19.5" customHeight="1">
      <c r="C68" s="15" t="inlineStr">
        <is>
          <t>Σύνολο Εβδομαδιαίων Ωρών:</t>
        </is>
      </c>
      <c r="D68" s="16">
        <f>SUM(D63:D67)</f>
        <v/>
      </c>
    </row>
    <row r="69" ht="19.5" customHeight="1">
      <c r="C69" s="15" t="inlineStr">
        <is>
          <t>Ημέρες Εργασίας Εβδομάδας:</t>
        </is>
      </c>
      <c r="D69" s="16">
        <f>COUNTA(D63:D67)</f>
        <v/>
      </c>
      <c r="K69" s="17" t="inlineStr">
        <is>
          <t>Σύνολο Εργάσιμων Ημερών:</t>
        </is>
      </c>
      <c r="L69" s="18">
        <f>D69+L55</f>
        <v/>
      </c>
    </row>
    <row r="73" ht="16.5" customHeight="1">
      <c r="B73" s="181" t="inlineStr">
        <is>
          <t>ΜΗΝΙΑΙΑ ΕΚΘΕΣΗ ΕΡΓΑΣΙΑΚΩΝ ΕΜΠΕΙΡΙΩΝ ΑΣΚΟΥΜΕΝΟΥ</t>
        </is>
      </c>
      <c r="C73" s="164" t="n"/>
      <c r="D73" s="165" t="n"/>
    </row>
    <row r="74" ht="150" customHeight="1">
      <c r="B74" s="166" t="n"/>
      <c r="C74" s="182" t="n"/>
      <c r="D74" s="183" t="n"/>
    </row>
    <row r="77" ht="16.5" customHeight="1">
      <c r="B77" s="181" t="inlineStr">
        <is>
          <t>ΜΗΝΙΑΙΑ ΕΚΘΕΣΗ ΕΠΟΠΤΗ ΕΚΠΑΙΔΕΥΤΙΚΟΥ</t>
        </is>
      </c>
      <c r="C77" s="164" t="n"/>
      <c r="D77" s="165" t="n"/>
    </row>
    <row r="78" ht="150" customHeight="1">
      <c r="B78" s="184" t="n"/>
      <c r="C78" s="182" t="n"/>
      <c r="D78" s="183" t="n"/>
    </row>
  </sheetData>
  <sheetProtection selectLockedCells="1" selectUnlockedCells="0" algorithmName="SHA-512" sheet="1" objects="1" insertRows="1" insertHyperlinks="1" autoFilter="1" scenarios="1" formatColumns="1" deleteColumns="1" insertColumns="1" pivotTables="1" deleteRows="1" formatCells="1" saltValue="HkIgoVrQAJDuBghENCHPoA==" formatRows="1" sort="1" spinCount="100000" hashValue="J7xEv1hV7BBhXRmdTVH2Motb55098vp4Ww7LJtxc0N/oU0QbhvUPS9/lNN6rk94SLAuhBB78CB9vko98UXy3wQ=="/>
  <mergeCells count="30">
    <mergeCell ref="F35:M36"/>
    <mergeCell ref="E60:G60"/>
    <mergeCell ref="B57:D57"/>
    <mergeCell ref="B1:D1"/>
    <mergeCell ref="E31:G31"/>
    <mergeCell ref="F34:M34"/>
    <mergeCell ref="B73:D73"/>
    <mergeCell ref="F6:M6"/>
    <mergeCell ref="B78:D78"/>
    <mergeCell ref="B29:D29"/>
    <mergeCell ref="E59:G59"/>
    <mergeCell ref="E46:G46"/>
    <mergeCell ref="E45:G45"/>
    <mergeCell ref="F20:M20"/>
    <mergeCell ref="B74:D74"/>
    <mergeCell ref="F49:M50"/>
    <mergeCell ref="B15:D15"/>
    <mergeCell ref="E32:G32"/>
    <mergeCell ref="F62:M62"/>
    <mergeCell ref="F7:M8"/>
    <mergeCell ref="F63:M64"/>
    <mergeCell ref="E18:G18"/>
    <mergeCell ref="E3:G3"/>
    <mergeCell ref="F48:M48"/>
    <mergeCell ref="E17:G17"/>
    <mergeCell ref="E4:G4"/>
    <mergeCell ref="B43:D43"/>
    <mergeCell ref="B77:D77"/>
    <mergeCell ref="F9:M11"/>
    <mergeCell ref="F21:M22"/>
  </mergeCells>
  <conditionalFormatting sqref="E3:G3">
    <cfRule type="cellIs" priority="2" operator="notEqual" dxfId="0">
      <formula>2</formula>
    </cfRule>
  </conditionalFormatting>
  <conditionalFormatting sqref="E4:G4">
    <cfRule type="cellIs" priority="1" operator="notEqual" dxfId="0">
      <formula>6</formula>
    </cfRule>
  </conditionalFormatting>
  <pageMargins left="0.12" right="0.2" top="0.33" bottom="0.28" header="0.17" footer="0.14"/>
  <pageSetup orientation="landscape" paperSize="9" horizontalDpi="4294967293" verticalDpi="0"/>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B1:N78"/>
  <sheetViews>
    <sheetView topLeftCell="A10" workbookViewId="0">
      <selection activeCell="C24" sqref="C24"/>
    </sheetView>
  </sheetViews>
  <sheetFormatPr baseColWidth="8" defaultRowHeight="15"/>
  <cols>
    <col width="1.42578125" customWidth="1" min="1" max="1"/>
    <col width="14.28515625" customWidth="1" style="1" min="2" max="2"/>
    <col width="48.5703125" customWidth="1" min="3" max="3"/>
    <col width="12.140625" customWidth="1" style="1" min="4" max="4"/>
    <col width="2.7109375" customWidth="1" min="5" max="5"/>
    <col width="8" customWidth="1" min="6" max="13"/>
  </cols>
  <sheetData>
    <row r="1" ht="18" customHeight="1">
      <c r="B1" s="74" t="inlineStr">
        <is>
          <t>ΕΒΔΟΜΑΔΙΑΙΟ ΦΥΛΛΟ ΠΡΑΚΤΙΚΗΣ ΑΣΚΗΣΗΣ</t>
        </is>
      </c>
    </row>
    <row r="3" ht="18.75" customHeight="1">
      <c r="B3" s="10" t="inlineStr">
        <is>
          <t>ΕΒΔΟΜΑΔΑ</t>
        </is>
      </c>
      <c r="C3" s="11" t="inlineStr">
        <is>
          <t>από Δευτέρα:</t>
        </is>
      </c>
      <c r="D3" s="185" t="n">
        <v>46237</v>
      </c>
      <c r="E3" s="163">
        <f>WEEKDAY(D3)</f>
        <v/>
      </c>
    </row>
    <row r="4" ht="18.75" customHeight="1">
      <c r="B4" s="34">
        <f>('5ος'!D3-'Στοιχεία Πρακτικής'!C21)/7 + 1</f>
        <v/>
      </c>
      <c r="C4" s="11" t="inlineStr">
        <is>
          <t>έως Παρασκευή:</t>
        </is>
      </c>
      <c r="D4" s="31">
        <f>D3+4</f>
        <v/>
      </c>
      <c r="E4" s="163">
        <f>WEEKDAY(D4)</f>
        <v/>
      </c>
    </row>
    <row r="6" ht="31.5" customHeight="1">
      <c r="B6" s="13" t="inlineStr">
        <is>
          <t>ΗΜΕΡΑ</t>
        </is>
      </c>
      <c r="C6" s="14" t="inlineStr">
        <is>
          <t>ΠΕΡΙΛΗΨΗ ΕΡΓΑΣΙΩΝ
 ΠΟΥ ΕΚΕΤΕΛΕΣΤΗΚΑΝ</t>
        </is>
      </c>
      <c r="D6" s="13" t="inlineStr">
        <is>
          <t>ΩΡΕΣ</t>
        </is>
      </c>
      <c r="F6" s="77" t="inlineStr">
        <is>
          <t>ΕΒΔΟΜΑΔΙΑΙΕΣ ΣΗΜΕΙΩΣΕΙΣ - ΠΑΡΑΤΗΡΗΣΕΙΣ ΑΣΚΟΥΜΕΝΟΥ</t>
        </is>
      </c>
      <c r="G6" s="164" t="n"/>
      <c r="H6" s="164" t="n"/>
      <c r="I6" s="164" t="n"/>
      <c r="J6" s="164" t="n"/>
      <c r="K6" s="164" t="n"/>
      <c r="L6" s="164" t="n"/>
      <c r="M6" s="165" t="n"/>
    </row>
    <row r="7" ht="76.5" customHeight="1">
      <c r="B7" s="24">
        <f>D3</f>
        <v/>
      </c>
      <c r="C7" s="22" t="n"/>
      <c r="D7" s="26" t="n"/>
      <c r="F7" s="166" t="n"/>
      <c r="G7" s="167" t="n"/>
      <c r="H7" s="167" t="n"/>
      <c r="I7" s="167" t="n"/>
      <c r="J7" s="167" t="n"/>
      <c r="K7" s="167" t="n"/>
      <c r="L7" s="167" t="n"/>
      <c r="M7" s="149" t="n"/>
    </row>
    <row r="8" ht="76.5" customHeight="1">
      <c r="B8" s="24">
        <f>B7+1</f>
        <v/>
      </c>
      <c r="C8" s="22" t="n"/>
      <c r="D8" s="26" t="n"/>
      <c r="F8" s="168" t="n"/>
      <c r="G8" s="169" t="n"/>
      <c r="H8" s="169" t="n"/>
      <c r="I8" s="169" t="n"/>
      <c r="J8" s="169" t="n"/>
      <c r="K8" s="169" t="n"/>
      <c r="L8" s="169" t="n"/>
      <c r="M8" s="153" t="n"/>
    </row>
    <row r="9" ht="76.5" customHeight="1">
      <c r="B9" s="24">
        <f>B8+1</f>
        <v/>
      </c>
      <c r="C9" s="22" t="n"/>
      <c r="D9" s="26" t="n"/>
      <c r="F9" s="180">
        <f>'1ος'!F9:M11</f>
        <v/>
      </c>
      <c r="G9" s="171" t="n"/>
      <c r="H9" s="171" t="n"/>
      <c r="I9" s="171" t="n"/>
      <c r="J9" s="171" t="n"/>
      <c r="K9" s="171" t="n"/>
      <c r="L9" s="171" t="n"/>
      <c r="M9" s="172" t="n"/>
    </row>
    <row r="10" ht="76.5" customHeight="1">
      <c r="B10" s="24">
        <f>B9+1</f>
        <v/>
      </c>
      <c r="C10" s="22" t="n"/>
      <c r="D10" s="26" t="n"/>
      <c r="F10" s="173" t="n"/>
      <c r="M10" s="174" t="n"/>
    </row>
    <row r="11" ht="76.5" customHeight="1">
      <c r="B11" s="27">
        <f>B10+1</f>
        <v/>
      </c>
      <c r="C11" s="23" t="n"/>
      <c r="D11" s="29" t="n"/>
      <c r="F11" s="175" t="n"/>
      <c r="G11" s="176" t="n"/>
      <c r="H11" s="176" t="n"/>
      <c r="I11" s="176" t="n"/>
      <c r="J11" s="176" t="n"/>
      <c r="K11" s="176" t="n"/>
      <c r="L11" s="176" t="n"/>
      <c r="M11" s="177" t="n"/>
    </row>
    <row r="12" ht="19.5" customHeight="1">
      <c r="C12" s="15" t="inlineStr">
        <is>
          <t>Σύνολο Εβδομαδιαίων Ωρών:</t>
        </is>
      </c>
      <c r="D12" s="16">
        <f>SUM(D7:D11)</f>
        <v/>
      </c>
    </row>
    <row r="13" ht="19.5" customHeight="1">
      <c r="C13" s="15" t="inlineStr">
        <is>
          <t>Ημέρες Εργασίας Εβδομάδας:</t>
        </is>
      </c>
      <c r="D13" s="16">
        <f>COUNTA(D7:D11)</f>
        <v/>
      </c>
      <c r="K13" s="17" t="inlineStr">
        <is>
          <t>Σύνολο Εργάσιμων Ημερών:</t>
        </is>
      </c>
      <c r="L13" s="18">
        <f>D13+'4ος'!L69</f>
        <v/>
      </c>
    </row>
    <row r="14">
      <c r="N14" s="1" t="n"/>
    </row>
    <row r="15" ht="18" customHeight="1">
      <c r="B15" s="74" t="inlineStr">
        <is>
          <t>ΕΒΔΟΜΑΔΙΑΙΟ ΦΥΛΛΟ ΠΡΑΚΤΙΚΗΣ ΑΣΚΗΣΗΣ</t>
        </is>
      </c>
    </row>
    <row r="17" ht="18.75" customHeight="1">
      <c r="B17" s="10" t="inlineStr">
        <is>
          <t>ΕΒΔΟΜΑΔΑ</t>
        </is>
      </c>
      <c r="C17" s="11" t="inlineStr">
        <is>
          <t>από Δευτέρα:</t>
        </is>
      </c>
      <c r="D17" s="32">
        <f>D3+7</f>
        <v/>
      </c>
      <c r="E17" s="178">
        <f>D17</f>
        <v/>
      </c>
    </row>
    <row r="18" ht="18.75" customHeight="1">
      <c r="B18" s="12">
        <f>B4+1</f>
        <v/>
      </c>
      <c r="C18" s="11" t="inlineStr">
        <is>
          <t>έως Παρασκευή:</t>
        </is>
      </c>
      <c r="D18" s="31">
        <f>D17+4</f>
        <v/>
      </c>
      <c r="E18" s="178">
        <f>D18</f>
        <v/>
      </c>
    </row>
    <row r="20" ht="31.5" customHeight="1">
      <c r="B20" s="13" t="inlineStr">
        <is>
          <t>ΗΜΕΡΑ</t>
        </is>
      </c>
      <c r="C20" s="14" t="inlineStr">
        <is>
          <t>ΠΕΡΙΛΗΨΗ ΕΡΓΑΣΙΩΝ
 ΠΟΥ ΕΚΕΤΕΛΕΣΤΗΚΑΝ</t>
        </is>
      </c>
      <c r="D20" s="13" t="inlineStr">
        <is>
          <t>ΩΡΕΣ</t>
        </is>
      </c>
      <c r="F20" s="77" t="inlineStr">
        <is>
          <t>ΕΒΔΟΜΑΔΙΑΙΕΣ ΣΗΜΕΙΩΣΕΙΣ - ΠΑΡΑΤΗΡΗΣΕΙΣ ΑΣΚΟΥΜΕΝΟΥ</t>
        </is>
      </c>
      <c r="G20" s="164" t="n"/>
      <c r="H20" s="164" t="n"/>
      <c r="I20" s="164" t="n"/>
      <c r="J20" s="164" t="n"/>
      <c r="K20" s="164" t="n"/>
      <c r="L20" s="164" t="n"/>
      <c r="M20" s="165" t="n"/>
    </row>
    <row r="21" ht="76.5" customHeight="1">
      <c r="B21" s="24">
        <f>D17</f>
        <v/>
      </c>
      <c r="C21" s="22" t="n"/>
      <c r="D21" s="26" t="n"/>
      <c r="F21" s="179" t="n"/>
      <c r="G21" s="167" t="n"/>
      <c r="H21" s="167" t="n"/>
      <c r="I21" s="167" t="n"/>
      <c r="J21" s="167" t="n"/>
      <c r="K21" s="167" t="n"/>
      <c r="L21" s="167" t="n"/>
      <c r="M21" s="149" t="n"/>
    </row>
    <row r="22" ht="76.5" customHeight="1">
      <c r="B22" s="24">
        <f>B21+1</f>
        <v/>
      </c>
      <c r="C22" s="22" t="n"/>
      <c r="D22" s="26" t="n"/>
      <c r="F22" s="168" t="n"/>
      <c r="G22" s="169" t="n"/>
      <c r="H22" s="169" t="n"/>
      <c r="I22" s="169" t="n"/>
      <c r="J22" s="169" t="n"/>
      <c r="K22" s="169" t="n"/>
      <c r="L22" s="169" t="n"/>
      <c r="M22" s="153" t="n"/>
    </row>
    <row r="23" ht="76.5" customHeight="1">
      <c r="B23" s="24">
        <f>B22+1</f>
        <v/>
      </c>
      <c r="C23" s="22" t="n"/>
      <c r="D23" s="26" t="n"/>
    </row>
    <row r="24" ht="76.5" customHeight="1">
      <c r="B24" s="24">
        <f>B23+1</f>
        <v/>
      </c>
      <c r="C24" s="22" t="n"/>
      <c r="D24" s="26" t="n"/>
    </row>
    <row r="25" ht="76.5" customHeight="1">
      <c r="B25" s="27">
        <f>B24+1</f>
        <v/>
      </c>
      <c r="C25" s="23" t="n"/>
      <c r="D25" s="29" t="n"/>
    </row>
    <row r="26" ht="19.5" customHeight="1">
      <c r="C26" s="15" t="inlineStr">
        <is>
          <t>Σύνολο Εβδομαδιαίων Ωρών:</t>
        </is>
      </c>
      <c r="D26" s="16">
        <f>SUM(D21:D25)</f>
        <v/>
      </c>
    </row>
    <row r="27" ht="19.5" customHeight="1">
      <c r="C27" s="15" t="inlineStr">
        <is>
          <t>Ημέρες Εργασίας Εβδομάδας:</t>
        </is>
      </c>
      <c r="D27" s="16">
        <f>COUNTA(D21:D25)</f>
        <v/>
      </c>
      <c r="K27" s="17" t="inlineStr">
        <is>
          <t>Σύνολο Εργάσιμων Ημερών:</t>
        </is>
      </c>
      <c r="L27" s="18">
        <f>D27+L13</f>
        <v/>
      </c>
    </row>
    <row r="29" ht="18" customHeight="1">
      <c r="B29" s="74" t="inlineStr">
        <is>
          <t>ΕΒΔΟΜΑΔΙΑΙΟ ΦΥΛΛΟ ΠΡΑΚΤΙΚΗΣ ΑΣΚΗΣΗΣ</t>
        </is>
      </c>
    </row>
    <row r="31" ht="18.75" customHeight="1">
      <c r="B31" s="10" t="inlineStr">
        <is>
          <t>ΕΒΔΟΜΑΔΑ</t>
        </is>
      </c>
      <c r="C31" s="11" t="inlineStr">
        <is>
          <t>από Δευτέρα:</t>
        </is>
      </c>
      <c r="D31" s="32">
        <f>D17+7</f>
        <v/>
      </c>
      <c r="E31" s="178">
        <f>D31</f>
        <v/>
      </c>
    </row>
    <row r="32" ht="18.75" customHeight="1">
      <c r="B32" s="12">
        <f>B18+1</f>
        <v/>
      </c>
      <c r="C32" s="11" t="inlineStr">
        <is>
          <t>έως Παρασκευή:</t>
        </is>
      </c>
      <c r="D32" s="31">
        <f>D31+4</f>
        <v/>
      </c>
      <c r="E32" s="178">
        <f>D32</f>
        <v/>
      </c>
    </row>
    <row r="34" ht="31.5" customHeight="1">
      <c r="B34" s="13" t="inlineStr">
        <is>
          <t>ΗΜΕΡΑ</t>
        </is>
      </c>
      <c r="C34" s="14" t="inlineStr">
        <is>
          <t>ΠΕΡΙΛΗΨΗ ΕΡΓΑΣΙΩΝ
 ΠΟΥ ΕΚΕΤΕΛΕΣΤΗΚΑΝ</t>
        </is>
      </c>
      <c r="D34" s="13" t="inlineStr">
        <is>
          <t>ΩΡΕΣ</t>
        </is>
      </c>
      <c r="F34" s="77" t="inlineStr">
        <is>
          <t>ΕΒΔΟΜΑΔΙΑΙΕΣ ΣΗΜΕΙΩΣΕΙΣ - ΠΑΡΑΤΗΡΗΣΕΙΣ ΑΣΚΟΥΜΕΝΟΥ</t>
        </is>
      </c>
      <c r="G34" s="164" t="n"/>
      <c r="H34" s="164" t="n"/>
      <c r="I34" s="164" t="n"/>
      <c r="J34" s="164" t="n"/>
      <c r="K34" s="164" t="n"/>
      <c r="L34" s="164" t="n"/>
      <c r="M34" s="165" t="n"/>
    </row>
    <row r="35" ht="76.5" customHeight="1">
      <c r="B35" s="24">
        <f>D31</f>
        <v/>
      </c>
      <c r="C35" s="25" t="n"/>
      <c r="D35" s="26" t="n"/>
      <c r="F35" s="179" t="n"/>
      <c r="G35" s="167" t="n"/>
      <c r="H35" s="167" t="n"/>
      <c r="I35" s="167" t="n"/>
      <c r="J35" s="167" t="n"/>
      <c r="K35" s="167" t="n"/>
      <c r="L35" s="167" t="n"/>
      <c r="M35" s="149" t="n"/>
    </row>
    <row r="36" ht="76.5" customHeight="1">
      <c r="B36" s="24">
        <f>B35+1</f>
        <v/>
      </c>
      <c r="C36" s="25" t="n"/>
      <c r="D36" s="26" t="n"/>
      <c r="F36" s="168" t="n"/>
      <c r="G36" s="169" t="n"/>
      <c r="H36" s="169" t="n"/>
      <c r="I36" s="169" t="n"/>
      <c r="J36" s="169" t="n"/>
      <c r="K36" s="169" t="n"/>
      <c r="L36" s="169" t="n"/>
      <c r="M36" s="153" t="n"/>
    </row>
    <row r="37" ht="76.5" customHeight="1">
      <c r="B37" s="24">
        <f>B36+1</f>
        <v/>
      </c>
      <c r="C37" s="25" t="n"/>
      <c r="D37" s="26" t="n"/>
    </row>
    <row r="38" ht="76.5" customHeight="1">
      <c r="B38" s="24">
        <f>B37+1</f>
        <v/>
      </c>
      <c r="C38" s="25" t="n"/>
      <c r="D38" s="26" t="n"/>
    </row>
    <row r="39" ht="76.5" customHeight="1">
      <c r="B39" s="27">
        <f>B38+1</f>
        <v/>
      </c>
      <c r="C39" s="28" t="n"/>
      <c r="D39" s="29" t="n"/>
    </row>
    <row r="40" ht="19.5" customHeight="1">
      <c r="C40" s="15" t="inlineStr">
        <is>
          <t>Σύνολο Εβδομαδιαίων Ωρών:</t>
        </is>
      </c>
      <c r="D40" s="16">
        <f>SUM(D35:D39)</f>
        <v/>
      </c>
    </row>
    <row r="41" ht="19.5" customHeight="1">
      <c r="C41" s="15" t="inlineStr">
        <is>
          <t>Ημέρες Εργασίας Εβδομάδας:</t>
        </is>
      </c>
      <c r="D41" s="16">
        <f>COUNTA(D35:D39)</f>
        <v/>
      </c>
      <c r="K41" s="17" t="inlineStr">
        <is>
          <t>Σύνολο Εργάσιμων Ημερών:</t>
        </is>
      </c>
      <c r="L41" s="18">
        <f>D41+L27</f>
        <v/>
      </c>
    </row>
    <row r="43" ht="18" customHeight="1">
      <c r="B43" s="74" t="inlineStr">
        <is>
          <t>ΕΒΔΟΜΑΔΙΑΙΟ ΦΥΛΛΟ ΠΡΑΚΤΙΚΗΣ ΑΣΚΗΣΗΣ</t>
        </is>
      </c>
    </row>
    <row r="45" ht="18.75" customHeight="1">
      <c r="B45" s="10" t="inlineStr">
        <is>
          <t>ΕΒΔΟΜΑΔΑ</t>
        </is>
      </c>
      <c r="C45" s="11" t="inlineStr">
        <is>
          <t>από Δευτέρα:</t>
        </is>
      </c>
      <c r="D45" s="32">
        <f>D31+7</f>
        <v/>
      </c>
      <c r="E45" s="178">
        <f>D45</f>
        <v/>
      </c>
    </row>
    <row r="46" ht="18.75" customHeight="1">
      <c r="B46" s="12">
        <f>B32+1</f>
        <v/>
      </c>
      <c r="C46" s="11" t="inlineStr">
        <is>
          <t>έως Παρασκευή:</t>
        </is>
      </c>
      <c r="D46" s="31">
        <f>D45+4</f>
        <v/>
      </c>
      <c r="E46" s="178">
        <f>D46</f>
        <v/>
      </c>
    </row>
    <row r="48" ht="31.5" customHeight="1">
      <c r="B48" s="13" t="inlineStr">
        <is>
          <t>ΗΜΕΡΑ</t>
        </is>
      </c>
      <c r="C48" s="14" t="inlineStr">
        <is>
          <t>ΠΕΡΙΛΗΨΗ ΕΡΓΑΣΙΩΝ
 ΠΟΥ ΕΚΕΤΕΛΕΣΤΗΚΑΝ</t>
        </is>
      </c>
      <c r="D48" s="13" t="inlineStr">
        <is>
          <t>ΩΡΕΣ</t>
        </is>
      </c>
      <c r="F48" s="77" t="inlineStr">
        <is>
          <t>ΕΒΔΟΜΑΔΙΑΙΕΣ ΣΗΜΕΙΩΣΕΙΣ - ΠΑΡΑΤΗΡΗΣΕΙΣ ΑΣΚΟΥΜΕΝΟΥ</t>
        </is>
      </c>
      <c r="G48" s="164" t="n"/>
      <c r="H48" s="164" t="n"/>
      <c r="I48" s="164" t="n"/>
      <c r="J48" s="164" t="n"/>
      <c r="K48" s="164" t="n"/>
      <c r="L48" s="164" t="n"/>
      <c r="M48" s="165" t="n"/>
    </row>
    <row r="49" ht="76.5" customHeight="1">
      <c r="B49" s="24">
        <f>D45</f>
        <v/>
      </c>
      <c r="C49" s="25" t="n"/>
      <c r="D49" s="26" t="n"/>
      <c r="F49" s="179" t="n"/>
      <c r="G49" s="167" t="n"/>
      <c r="H49" s="167" t="n"/>
      <c r="I49" s="167" t="n"/>
      <c r="J49" s="167" t="n"/>
      <c r="K49" s="167" t="n"/>
      <c r="L49" s="167" t="n"/>
      <c r="M49" s="149" t="n"/>
    </row>
    <row r="50" ht="76.5" customHeight="1">
      <c r="B50" s="24">
        <f>B49+1</f>
        <v/>
      </c>
      <c r="C50" s="25" t="n"/>
      <c r="D50" s="26" t="n"/>
      <c r="F50" s="168" t="n"/>
      <c r="G50" s="169" t="n"/>
      <c r="H50" s="169" t="n"/>
      <c r="I50" s="169" t="n"/>
      <c r="J50" s="169" t="n"/>
      <c r="K50" s="169" t="n"/>
      <c r="L50" s="169" t="n"/>
      <c r="M50" s="153" t="n"/>
    </row>
    <row r="51" ht="76.5" customHeight="1">
      <c r="B51" s="24">
        <f>B50+1</f>
        <v/>
      </c>
      <c r="C51" s="25" t="n"/>
      <c r="D51" s="26" t="n"/>
    </row>
    <row r="52" ht="76.5" customHeight="1">
      <c r="B52" s="24">
        <f>B51+1</f>
        <v/>
      </c>
      <c r="C52" s="25" t="n"/>
      <c r="D52" s="26" t="n"/>
    </row>
    <row r="53" ht="76.5" customHeight="1">
      <c r="B53" s="27">
        <f>B52+1</f>
        <v/>
      </c>
      <c r="C53" s="28" t="n"/>
      <c r="D53" s="29" t="n"/>
    </row>
    <row r="54" ht="19.5" customHeight="1">
      <c r="C54" s="15" t="inlineStr">
        <is>
          <t>Σύνολο Εβδομαδιαίων Ωρών:</t>
        </is>
      </c>
      <c r="D54" s="16">
        <f>SUM(D49:D53)</f>
        <v/>
      </c>
    </row>
    <row r="55" ht="19.5" customHeight="1">
      <c r="C55" s="15" t="inlineStr">
        <is>
          <t>Ημέρες Εργασίας Εβδομάδας:</t>
        </is>
      </c>
      <c r="D55" s="16">
        <f>COUNTA(D49:D53)</f>
        <v/>
      </c>
      <c r="K55" s="17" t="inlineStr">
        <is>
          <t>Σύνολο Εργάσιμων Ημερών:</t>
        </is>
      </c>
      <c r="L55" s="18">
        <f>D55+L41</f>
        <v/>
      </c>
    </row>
    <row r="57" ht="18" customHeight="1">
      <c r="B57" s="74" t="inlineStr">
        <is>
          <t>ΕΒΔΟΜΑΔΙΑΙΟ ΦΥΛΛΟ ΠΡΑΚΤΙΚΗΣ ΑΣΚΗΣΗΣ</t>
        </is>
      </c>
    </row>
    <row r="59" ht="18.75" customHeight="1">
      <c r="B59" s="10" t="inlineStr">
        <is>
          <t>ΕΒΔΟΜΑΔΑ</t>
        </is>
      </c>
      <c r="C59" s="11" t="inlineStr">
        <is>
          <t>από Δευτέρα:</t>
        </is>
      </c>
      <c r="D59" s="32">
        <f>D45+7</f>
        <v/>
      </c>
      <c r="E59" s="178">
        <f>D59</f>
        <v/>
      </c>
    </row>
    <row r="60" ht="18.75" customHeight="1">
      <c r="B60" s="12">
        <f>B46+1</f>
        <v/>
      </c>
      <c r="C60" s="11" t="inlineStr">
        <is>
          <t>έως Παρασκευή:</t>
        </is>
      </c>
      <c r="D60" s="31">
        <f>D59+4</f>
        <v/>
      </c>
      <c r="E60" s="178">
        <f>D60</f>
        <v/>
      </c>
    </row>
    <row r="62" ht="31.5" customHeight="1">
      <c r="B62" s="13" t="inlineStr">
        <is>
          <t>ΗΜΕΡΑ</t>
        </is>
      </c>
      <c r="C62" s="14" t="inlineStr">
        <is>
          <t>ΠΕΡΙΛΗΨΗ ΕΡΓΑΣΙΩΝ
 ΠΟΥ ΕΚΕΤΕΛΕΣΤΗΚΑΝ</t>
        </is>
      </c>
      <c r="D62" s="13" t="inlineStr">
        <is>
          <t>ΩΡΕΣ</t>
        </is>
      </c>
      <c r="F62" s="77" t="inlineStr">
        <is>
          <t>ΕΒΔΟΜΑΔΙΑΙΕΣ ΣΗΜΕΙΩΣΕΙΣ - ΠΑΡΑΤΗΡΗΣΕΙΣ ΑΣΚΟΥΜΕΝΟΥ</t>
        </is>
      </c>
      <c r="G62" s="164" t="n"/>
      <c r="H62" s="164" t="n"/>
      <c r="I62" s="164" t="n"/>
      <c r="J62" s="164" t="n"/>
      <c r="K62" s="164" t="n"/>
      <c r="L62" s="164" t="n"/>
      <c r="M62" s="165" t="n"/>
    </row>
    <row r="63" ht="76.5" customHeight="1">
      <c r="B63" s="24">
        <f>D59</f>
        <v/>
      </c>
      <c r="C63" s="25" t="n"/>
      <c r="D63" s="26" t="n"/>
      <c r="F63" s="179" t="n"/>
      <c r="G63" s="167" t="n"/>
      <c r="H63" s="167" t="n"/>
      <c r="I63" s="167" t="n"/>
      <c r="J63" s="167" t="n"/>
      <c r="K63" s="167" t="n"/>
      <c r="L63" s="167" t="n"/>
      <c r="M63" s="149" t="n"/>
    </row>
    <row r="64" ht="76.5" customHeight="1">
      <c r="B64" s="24">
        <f>B63+1</f>
        <v/>
      </c>
      <c r="C64" s="25" t="n"/>
      <c r="D64" s="26" t="n"/>
      <c r="F64" s="168" t="n"/>
      <c r="G64" s="169" t="n"/>
      <c r="H64" s="169" t="n"/>
      <c r="I64" s="169" t="n"/>
      <c r="J64" s="169" t="n"/>
      <c r="K64" s="169" t="n"/>
      <c r="L64" s="169" t="n"/>
      <c r="M64" s="153" t="n"/>
    </row>
    <row r="65" ht="76.5" customHeight="1">
      <c r="B65" s="24">
        <f>B64+1</f>
        <v/>
      </c>
      <c r="C65" s="25" t="n"/>
      <c r="D65" s="26" t="n"/>
    </row>
    <row r="66" ht="76.5" customHeight="1">
      <c r="B66" s="24">
        <f>B65+1</f>
        <v/>
      </c>
      <c r="C66" s="25" t="n"/>
      <c r="D66" s="26" t="n"/>
    </row>
    <row r="67" ht="76.5" customHeight="1">
      <c r="B67" s="27">
        <f>B66+1</f>
        <v/>
      </c>
      <c r="C67" s="28" t="n"/>
      <c r="D67" s="29" t="n"/>
    </row>
    <row r="68" ht="19.5" customHeight="1">
      <c r="C68" s="15" t="inlineStr">
        <is>
          <t>Σύνολο Εβδομαδιαίων Ωρών:</t>
        </is>
      </c>
      <c r="D68" s="16">
        <f>SUM(D63:D67)</f>
        <v/>
      </c>
    </row>
    <row r="69" ht="19.5" customHeight="1">
      <c r="C69" s="15" t="inlineStr">
        <is>
          <t>Ημέρες Εργασίας Εβδομάδας:</t>
        </is>
      </c>
      <c r="D69" s="16">
        <f>COUNTA(D63:D67)</f>
        <v/>
      </c>
      <c r="K69" s="17" t="inlineStr">
        <is>
          <t>Σύνολο Εργάσιμων Ημερών:</t>
        </is>
      </c>
      <c r="L69" s="18">
        <f>D69+L55</f>
        <v/>
      </c>
    </row>
    <row r="73" ht="16.5" customHeight="1">
      <c r="B73" s="181" t="inlineStr">
        <is>
          <t>ΜΗΝΙΑΙΑ ΕΚΘΕΣΗ ΕΡΓΑΣΙΑΚΩΝ ΕΜΠΕΙΡΙΩΝ ΑΣΚΟΥΜΕΝΟΥ</t>
        </is>
      </c>
      <c r="C73" s="164" t="n"/>
      <c r="D73" s="165" t="n"/>
    </row>
    <row r="74" ht="150" customHeight="1">
      <c r="B74" s="166" t="n"/>
      <c r="C74" s="182" t="n"/>
      <c r="D74" s="183" t="n"/>
    </row>
    <row r="77" ht="16.5" customHeight="1">
      <c r="B77" s="181" t="inlineStr">
        <is>
          <t>ΜΗΝΙΑΙΑ ΕΚΘΕΣΗ ΕΠΟΠΤΗ ΕΚΠΑΙΔΕΥΤΙΚΟΥ</t>
        </is>
      </c>
      <c r="C77" s="164" t="n"/>
      <c r="D77" s="165" t="n"/>
    </row>
    <row r="78" ht="150" customHeight="1">
      <c r="B78" s="184" t="n"/>
      <c r="C78" s="182" t="n"/>
      <c r="D78" s="183" t="n"/>
    </row>
  </sheetData>
  <sheetProtection selectLockedCells="1" selectUnlockedCells="0" algorithmName="SHA-512" sheet="1" objects="1" insertRows="1" insertHyperlinks="1" autoFilter="1" scenarios="1" formatColumns="1" deleteColumns="1" insertColumns="1" pivotTables="1" deleteRows="1" formatCells="1" saltValue="hkPvDXY/9uO8gpbWX4HUnQ==" formatRows="1" sort="1" spinCount="100000" hashValue="uVddQ8yzmE519ieAbZskWzrrL7vGsv6ws270YYJ9VXYfgBYI0GrKEQmbnnSsFSO+ZFpOsXe71Jgqd98SGXQqmw=="/>
  <mergeCells count="30">
    <mergeCell ref="F35:M36"/>
    <mergeCell ref="E60:G60"/>
    <mergeCell ref="B57:D57"/>
    <mergeCell ref="B1:D1"/>
    <mergeCell ref="E31:G31"/>
    <mergeCell ref="F34:M34"/>
    <mergeCell ref="B73:D73"/>
    <mergeCell ref="F6:M6"/>
    <mergeCell ref="B78:D78"/>
    <mergeCell ref="B29:D29"/>
    <mergeCell ref="E59:G59"/>
    <mergeCell ref="E46:G46"/>
    <mergeCell ref="E45:G45"/>
    <mergeCell ref="F20:M20"/>
    <mergeCell ref="B74:D74"/>
    <mergeCell ref="F49:M50"/>
    <mergeCell ref="B15:D15"/>
    <mergeCell ref="E32:G32"/>
    <mergeCell ref="F62:M62"/>
    <mergeCell ref="F7:M8"/>
    <mergeCell ref="F63:M64"/>
    <mergeCell ref="E18:G18"/>
    <mergeCell ref="E3:G3"/>
    <mergeCell ref="F48:M48"/>
    <mergeCell ref="E17:G17"/>
    <mergeCell ref="E4:G4"/>
    <mergeCell ref="B43:D43"/>
    <mergeCell ref="B77:D77"/>
    <mergeCell ref="F9:M11"/>
    <mergeCell ref="F21:M22"/>
  </mergeCells>
  <conditionalFormatting sqref="E3:G3">
    <cfRule type="cellIs" priority="2" operator="notEqual" dxfId="0">
      <formula>2</formula>
    </cfRule>
  </conditionalFormatting>
  <conditionalFormatting sqref="E4:G4">
    <cfRule type="cellIs" priority="1" operator="notEqual" dxfId="0">
      <formula>6</formula>
    </cfRule>
  </conditionalFormatting>
  <pageMargins left="0.12" right="0.2" top="0.33" bottom="0.28" header="0.17" footer="0.14"/>
  <pageSetup orientation="landscape" paperSize="9" horizontalDpi="4294967293" verticalDpi="0"/>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1:N78"/>
  <sheetViews>
    <sheetView topLeftCell="A10" workbookViewId="0">
      <selection activeCell="C24" sqref="C24"/>
    </sheetView>
  </sheetViews>
  <sheetFormatPr baseColWidth="8" defaultRowHeight="15"/>
  <cols>
    <col width="1.42578125" customWidth="1" min="1" max="1"/>
    <col width="14.28515625" customWidth="1" style="1" min="2" max="2"/>
    <col width="48.5703125" customWidth="1" min="3" max="3"/>
    <col width="12.140625" customWidth="1" style="1" min="4" max="4"/>
    <col width="2.7109375" customWidth="1" min="5" max="5"/>
    <col width="8" customWidth="1" min="6" max="13"/>
  </cols>
  <sheetData>
    <row r="1" ht="18" customHeight="1">
      <c r="B1" s="74" t="n"/>
    </row>
    <row r="3" ht="18.75" customHeight="1">
      <c r="B3" s="10" t="n"/>
      <c r="C3" s="11" t="n"/>
      <c r="D3" s="30" t="n"/>
      <c r="E3" s="163" t="n"/>
    </row>
    <row r="4" ht="18.75" customHeight="1">
      <c r="B4" s="34" t="n"/>
      <c r="C4" s="11" t="n"/>
      <c r="D4" s="31" t="n"/>
      <c r="E4" s="163" t="n"/>
    </row>
    <row r="6" ht="31.5" customHeight="1">
      <c r="B6" s="13" t="n"/>
      <c r="C6" s="14" t="n"/>
      <c r="D6" s="13" t="n"/>
      <c r="F6" s="77" t="n"/>
      <c r="G6" s="164" t="n"/>
      <c r="H6" s="164" t="n"/>
      <c r="I6" s="164" t="n"/>
      <c r="J6" s="164" t="n"/>
      <c r="K6" s="164" t="n"/>
      <c r="L6" s="164" t="n"/>
      <c r="M6" s="165" t="n"/>
    </row>
    <row r="7" ht="76.5" customHeight="1">
      <c r="B7" s="24" t="n"/>
      <c r="C7" s="22" t="n"/>
      <c r="D7" s="26" t="n"/>
      <c r="F7" s="166" t="n"/>
      <c r="G7" s="167" t="n"/>
      <c r="H7" s="167" t="n"/>
      <c r="I7" s="167" t="n"/>
      <c r="J7" s="167" t="n"/>
      <c r="K7" s="167" t="n"/>
      <c r="L7" s="167" t="n"/>
      <c r="M7" s="149" t="n"/>
    </row>
    <row r="8" ht="76.5" customHeight="1">
      <c r="B8" s="24" t="n"/>
      <c r="C8" s="22" t="n"/>
      <c r="D8" s="26" t="n"/>
      <c r="F8" s="168" t="n"/>
      <c r="G8" s="169" t="n"/>
      <c r="H8" s="169" t="n"/>
      <c r="I8" s="169" t="n"/>
      <c r="J8" s="169" t="n"/>
      <c r="K8" s="169" t="n"/>
      <c r="L8" s="169" t="n"/>
      <c r="M8" s="153" t="n"/>
    </row>
    <row r="9" ht="76.5" customHeight="1">
      <c r="B9" s="24" t="n"/>
      <c r="C9" s="22" t="n"/>
      <c r="D9" s="26" t="n"/>
      <c r="F9" s="180" t="n"/>
      <c r="G9" s="171" t="n"/>
      <c r="H9" s="171" t="n"/>
      <c r="I9" s="171" t="n"/>
      <c r="J9" s="171" t="n"/>
      <c r="K9" s="171" t="n"/>
      <c r="L9" s="171" t="n"/>
      <c r="M9" s="172" t="n"/>
    </row>
    <row r="10" ht="76.5" customHeight="1">
      <c r="B10" s="24" t="n"/>
      <c r="C10" s="22" t="n"/>
      <c r="D10" s="26" t="n"/>
      <c r="F10" s="173" t="n"/>
      <c r="M10" s="174" t="n"/>
    </row>
    <row r="11" ht="76.5" customHeight="1">
      <c r="B11" s="27" t="n"/>
      <c r="C11" s="23" t="n"/>
      <c r="D11" s="29" t="n"/>
      <c r="F11" s="175" t="n"/>
      <c r="G11" s="176" t="n"/>
      <c r="H11" s="176" t="n"/>
      <c r="I11" s="176" t="n"/>
      <c r="J11" s="176" t="n"/>
      <c r="K11" s="176" t="n"/>
      <c r="L11" s="176" t="n"/>
      <c r="M11" s="177" t="n"/>
    </row>
    <row r="12" ht="19.5" customHeight="1">
      <c r="C12" s="15" t="n"/>
      <c r="D12" s="16" t="n"/>
    </row>
    <row r="13" ht="19.5" customHeight="1">
      <c r="C13" s="15" t="n"/>
      <c r="D13" s="16" t="n"/>
      <c r="K13" s="17" t="n"/>
      <c r="L13" s="18" t="n"/>
    </row>
    <row r="14">
      <c r="N14" s="1" t="n"/>
    </row>
    <row r="15" ht="18" customHeight="1">
      <c r="B15" s="74" t="n"/>
    </row>
    <row r="17" ht="18.75" customHeight="1">
      <c r="B17" s="10" t="n"/>
      <c r="C17" s="11" t="n"/>
      <c r="D17" s="32" t="n"/>
      <c r="E17" s="178" t="n"/>
    </row>
    <row r="18" ht="18.75" customHeight="1">
      <c r="B18" s="12" t="n"/>
      <c r="C18" s="11" t="n"/>
      <c r="D18" s="31" t="n"/>
      <c r="E18" s="178" t="n"/>
    </row>
    <row r="20" ht="31.5" customHeight="1">
      <c r="B20" s="13" t="n"/>
      <c r="C20" s="14" t="n"/>
      <c r="D20" s="13" t="n"/>
      <c r="F20" s="77" t="n"/>
      <c r="G20" s="164" t="n"/>
      <c r="H20" s="164" t="n"/>
      <c r="I20" s="164" t="n"/>
      <c r="J20" s="164" t="n"/>
      <c r="K20" s="164" t="n"/>
      <c r="L20" s="164" t="n"/>
      <c r="M20" s="165" t="n"/>
    </row>
    <row r="21" ht="76.5" customHeight="1">
      <c r="B21" s="24" t="n"/>
      <c r="C21" s="22" t="n"/>
      <c r="D21" s="26" t="n"/>
      <c r="F21" s="179" t="n"/>
      <c r="G21" s="167" t="n"/>
      <c r="H21" s="167" t="n"/>
      <c r="I21" s="167" t="n"/>
      <c r="J21" s="167" t="n"/>
      <c r="K21" s="167" t="n"/>
      <c r="L21" s="167" t="n"/>
      <c r="M21" s="149" t="n"/>
    </row>
    <row r="22" ht="76.5" customHeight="1">
      <c r="B22" s="24" t="n"/>
      <c r="C22" s="22" t="n"/>
      <c r="D22" s="26" t="n"/>
      <c r="F22" s="168" t="n"/>
      <c r="G22" s="169" t="n"/>
      <c r="H22" s="169" t="n"/>
      <c r="I22" s="169" t="n"/>
      <c r="J22" s="169" t="n"/>
      <c r="K22" s="169" t="n"/>
      <c r="L22" s="169" t="n"/>
      <c r="M22" s="153" t="n"/>
    </row>
    <row r="23" ht="76.5" customHeight="1">
      <c r="B23" s="24" t="n"/>
      <c r="C23" s="22" t="n"/>
      <c r="D23" s="26" t="n"/>
    </row>
    <row r="24" ht="76.5" customHeight="1">
      <c r="B24" s="24" t="n"/>
      <c r="C24" s="22" t="n"/>
      <c r="D24" s="26" t="n"/>
    </row>
    <row r="25" ht="76.5" customHeight="1">
      <c r="B25" s="27" t="n"/>
      <c r="C25" s="23" t="n"/>
      <c r="D25" s="29" t="n"/>
    </row>
    <row r="26" ht="19.5" customHeight="1">
      <c r="C26" s="15" t="n"/>
      <c r="D26" s="16" t="n"/>
    </row>
    <row r="27" ht="19.5" customHeight="1">
      <c r="C27" s="15" t="n"/>
      <c r="D27" s="16" t="n"/>
      <c r="K27" s="17" t="n"/>
      <c r="L27" s="18" t="n"/>
    </row>
    <row r="29" ht="18" customHeight="1">
      <c r="B29" s="74" t="n"/>
    </row>
    <row r="31" ht="18.75" customHeight="1">
      <c r="B31" s="10" t="n"/>
      <c r="C31" s="11" t="n"/>
      <c r="D31" s="32" t="n"/>
      <c r="E31" s="178" t="n"/>
    </row>
    <row r="32" ht="18.75" customHeight="1">
      <c r="B32" s="12" t="n"/>
      <c r="C32" s="11" t="n"/>
      <c r="D32" s="31" t="n"/>
      <c r="E32" s="178" t="n"/>
    </row>
    <row r="34" ht="31.5" customHeight="1">
      <c r="B34" s="13" t="n"/>
      <c r="C34" s="14" t="n"/>
      <c r="D34" s="13" t="n"/>
      <c r="F34" s="77" t="n"/>
      <c r="G34" s="164" t="n"/>
      <c r="H34" s="164" t="n"/>
      <c r="I34" s="164" t="n"/>
      <c r="J34" s="164" t="n"/>
      <c r="K34" s="164" t="n"/>
      <c r="L34" s="164" t="n"/>
      <c r="M34" s="165" t="n"/>
    </row>
    <row r="35" ht="76.5" customHeight="1">
      <c r="B35" s="24" t="n"/>
      <c r="C35" s="25" t="n"/>
      <c r="D35" s="26" t="n"/>
      <c r="F35" s="179" t="n"/>
      <c r="G35" s="167" t="n"/>
      <c r="H35" s="167" t="n"/>
      <c r="I35" s="167" t="n"/>
      <c r="J35" s="167" t="n"/>
      <c r="K35" s="167" t="n"/>
      <c r="L35" s="167" t="n"/>
      <c r="M35" s="149" t="n"/>
    </row>
    <row r="36" ht="76.5" customHeight="1">
      <c r="B36" s="24" t="n"/>
      <c r="C36" s="25" t="n"/>
      <c r="D36" s="26" t="n"/>
      <c r="F36" s="168" t="n"/>
      <c r="G36" s="169" t="n"/>
      <c r="H36" s="169" t="n"/>
      <c r="I36" s="169" t="n"/>
      <c r="J36" s="169" t="n"/>
      <c r="K36" s="169" t="n"/>
      <c r="L36" s="169" t="n"/>
      <c r="M36" s="153" t="n"/>
    </row>
    <row r="37" ht="76.5" customHeight="1">
      <c r="B37" s="24" t="n"/>
      <c r="C37" s="25" t="n"/>
      <c r="D37" s="26" t="n"/>
    </row>
    <row r="38" ht="76.5" customHeight="1">
      <c r="B38" s="24" t="n"/>
      <c r="C38" s="25" t="n"/>
      <c r="D38" s="26" t="n"/>
    </row>
    <row r="39" ht="76.5" customHeight="1">
      <c r="B39" s="27" t="n"/>
      <c r="C39" s="28" t="n"/>
      <c r="D39" s="29" t="n"/>
    </row>
    <row r="40" ht="19.5" customHeight="1">
      <c r="C40" s="15" t="n"/>
      <c r="D40" s="16" t="n"/>
    </row>
    <row r="41" ht="19.5" customHeight="1">
      <c r="C41" s="15" t="n"/>
      <c r="D41" s="16" t="n"/>
      <c r="K41" s="17" t="n"/>
      <c r="L41" s="18" t="n"/>
    </row>
    <row r="43" ht="18" customHeight="1">
      <c r="B43" s="74" t="n"/>
    </row>
    <row r="45" ht="18.75" customHeight="1">
      <c r="B45" s="10" t="n"/>
      <c r="C45" s="11" t="n"/>
      <c r="D45" s="32" t="n"/>
      <c r="E45" s="178" t="n"/>
    </row>
    <row r="46" ht="18.75" customHeight="1">
      <c r="B46" s="12" t="n"/>
      <c r="C46" s="11" t="n"/>
      <c r="D46" s="31" t="n"/>
      <c r="E46" s="178" t="n"/>
    </row>
    <row r="48" ht="31.5" customHeight="1">
      <c r="B48" s="13" t="n"/>
      <c r="C48" s="14" t="n"/>
      <c r="D48" s="13" t="n"/>
      <c r="F48" s="77" t="n"/>
      <c r="G48" s="164" t="n"/>
      <c r="H48" s="164" t="n"/>
      <c r="I48" s="164" t="n"/>
      <c r="J48" s="164" t="n"/>
      <c r="K48" s="164" t="n"/>
      <c r="L48" s="164" t="n"/>
      <c r="M48" s="165" t="n"/>
    </row>
    <row r="49" ht="76.5" customHeight="1">
      <c r="B49" s="24" t="n"/>
      <c r="C49" s="25" t="n"/>
      <c r="D49" s="26" t="n"/>
      <c r="F49" s="179" t="n"/>
      <c r="G49" s="167" t="n"/>
      <c r="H49" s="167" t="n"/>
      <c r="I49" s="167" t="n"/>
      <c r="J49" s="167" t="n"/>
      <c r="K49" s="167" t="n"/>
      <c r="L49" s="167" t="n"/>
      <c r="M49" s="149" t="n"/>
    </row>
    <row r="50" ht="76.5" customHeight="1">
      <c r="B50" s="24" t="n"/>
      <c r="C50" s="25" t="n"/>
      <c r="D50" s="26" t="n"/>
      <c r="F50" s="168" t="n"/>
      <c r="G50" s="169" t="n"/>
      <c r="H50" s="169" t="n"/>
      <c r="I50" s="169" t="n"/>
      <c r="J50" s="169" t="n"/>
      <c r="K50" s="169" t="n"/>
      <c r="L50" s="169" t="n"/>
      <c r="M50" s="153" t="n"/>
    </row>
    <row r="51" ht="76.5" customHeight="1">
      <c r="B51" s="24" t="n"/>
      <c r="C51" s="25" t="n"/>
      <c r="D51" s="26" t="n"/>
    </row>
    <row r="52" ht="76.5" customHeight="1">
      <c r="B52" s="24" t="n"/>
      <c r="C52" s="25" t="n"/>
      <c r="D52" s="26" t="n"/>
    </row>
    <row r="53" ht="76.5" customHeight="1">
      <c r="B53" s="27" t="n"/>
      <c r="C53" s="28" t="n"/>
      <c r="D53" s="29" t="n"/>
    </row>
    <row r="54" ht="19.5" customHeight="1">
      <c r="C54" s="15" t="n"/>
      <c r="D54" s="16" t="n"/>
    </row>
    <row r="55" ht="19.5" customHeight="1">
      <c r="C55" s="15" t="n"/>
      <c r="D55" s="16" t="n"/>
      <c r="K55" s="17" t="n"/>
      <c r="L55" s="18" t="n"/>
    </row>
    <row r="57" ht="18" customHeight="1">
      <c r="B57" s="74" t="n"/>
    </row>
    <row r="59" ht="18.75" customHeight="1">
      <c r="B59" s="10" t="n"/>
      <c r="C59" s="11" t="n"/>
      <c r="D59" s="32" t="n"/>
      <c r="E59" s="178" t="n"/>
    </row>
    <row r="60" ht="18.75" customHeight="1">
      <c r="B60" s="12" t="n"/>
      <c r="C60" s="11" t="n"/>
      <c r="D60" s="31" t="n"/>
      <c r="E60" s="178" t="n"/>
    </row>
    <row r="62" ht="31.5" customHeight="1">
      <c r="B62" s="13" t="n"/>
      <c r="C62" s="14" t="n"/>
      <c r="D62" s="13" t="n"/>
      <c r="F62" s="77" t="n"/>
      <c r="G62" s="164" t="n"/>
      <c r="H62" s="164" t="n"/>
      <c r="I62" s="164" t="n"/>
      <c r="J62" s="164" t="n"/>
      <c r="K62" s="164" t="n"/>
      <c r="L62" s="164" t="n"/>
      <c r="M62" s="165" t="n"/>
    </row>
    <row r="63" ht="76.5" customHeight="1">
      <c r="B63" s="24" t="n"/>
      <c r="C63" s="25" t="n"/>
      <c r="D63" s="26" t="n"/>
      <c r="F63" s="179" t="n"/>
      <c r="G63" s="167" t="n"/>
      <c r="H63" s="167" t="n"/>
      <c r="I63" s="167" t="n"/>
      <c r="J63" s="167" t="n"/>
      <c r="K63" s="167" t="n"/>
      <c r="L63" s="167" t="n"/>
      <c r="M63" s="149" t="n"/>
    </row>
    <row r="64" ht="76.5" customHeight="1">
      <c r="B64" s="24" t="n"/>
      <c r="C64" s="25" t="n"/>
      <c r="D64" s="26" t="n"/>
      <c r="F64" s="168" t="n"/>
      <c r="G64" s="169" t="n"/>
      <c r="H64" s="169" t="n"/>
      <c r="I64" s="169" t="n"/>
      <c r="J64" s="169" t="n"/>
      <c r="K64" s="169" t="n"/>
      <c r="L64" s="169" t="n"/>
      <c r="M64" s="153" t="n"/>
    </row>
    <row r="65" ht="76.5" customHeight="1">
      <c r="B65" s="24" t="n"/>
      <c r="C65" s="25" t="n"/>
      <c r="D65" s="26" t="n"/>
    </row>
    <row r="66" ht="76.5" customHeight="1">
      <c r="B66" s="24" t="n"/>
      <c r="C66" s="25" t="n"/>
      <c r="D66" s="26" t="n"/>
    </row>
    <row r="67" ht="76.5" customHeight="1">
      <c r="B67" s="27" t="n"/>
      <c r="C67" s="28" t="n"/>
      <c r="D67" s="29" t="n"/>
    </row>
    <row r="68" ht="19.5" customHeight="1">
      <c r="C68" s="15" t="n"/>
      <c r="D68" s="16" t="n"/>
    </row>
    <row r="69" ht="19.5" customHeight="1">
      <c r="C69" s="15" t="n"/>
      <c r="D69" s="16" t="n"/>
      <c r="K69" s="17" t="n"/>
      <c r="L69" s="18" t="n"/>
    </row>
    <row r="73" ht="16.5" customHeight="1">
      <c r="B73" s="181" t="n"/>
      <c r="C73" s="164" t="n"/>
      <c r="D73" s="165" t="n"/>
    </row>
    <row r="74" ht="150" customHeight="1">
      <c r="B74" s="166" t="n"/>
      <c r="C74" s="182" t="n"/>
      <c r="D74" s="183" t="n"/>
    </row>
    <row r="77" ht="16.5" customHeight="1">
      <c r="B77" s="181" t="n"/>
      <c r="C77" s="164" t="n"/>
      <c r="D77" s="165" t="n"/>
    </row>
    <row r="78" ht="150" customHeight="1">
      <c r="B78" s="184" t="n"/>
      <c r="C78" s="182" t="n"/>
      <c r="D78" s="183" t="n"/>
    </row>
  </sheetData>
  <sheetProtection selectLockedCells="1" selectUnlockedCells="0" algorithmName="SHA-512" sheet="1" objects="1" insertRows="1" insertHyperlinks="1" autoFilter="1" scenarios="1" formatColumns="1" deleteColumns="1" insertColumns="1" pivotTables="1" deleteRows="1" formatCells="1" saltValue="18p3QAC/Z1pkI1VYFwJWlg==" formatRows="1" sort="1" spinCount="100000" hashValue="/UQCsrXmCN8c1Dk2VwTIn1w12dRDBx7iigEhUdkG8nzTq3fuG6fkGvGf8OAXbfbgbjIMh3z8U1VaOzAfIW98tw=="/>
  <mergeCells count="30">
    <mergeCell ref="F35:M36"/>
    <mergeCell ref="E60:G60"/>
    <mergeCell ref="B57:D57"/>
    <mergeCell ref="B1:D1"/>
    <mergeCell ref="E31:G31"/>
    <mergeCell ref="F34:M34"/>
    <mergeCell ref="B73:D73"/>
    <mergeCell ref="F6:M6"/>
    <mergeCell ref="B78:D78"/>
    <mergeCell ref="B29:D29"/>
    <mergeCell ref="E59:G59"/>
    <mergeCell ref="E46:G46"/>
    <mergeCell ref="E45:G45"/>
    <mergeCell ref="F20:M20"/>
    <mergeCell ref="B74:D74"/>
    <mergeCell ref="F49:M50"/>
    <mergeCell ref="B15:D15"/>
    <mergeCell ref="E32:G32"/>
    <mergeCell ref="F62:M62"/>
    <mergeCell ref="F7:M8"/>
    <mergeCell ref="F63:M64"/>
    <mergeCell ref="E18:G18"/>
    <mergeCell ref="E3:G3"/>
    <mergeCell ref="F48:M48"/>
    <mergeCell ref="E17:G17"/>
    <mergeCell ref="E4:G4"/>
    <mergeCell ref="B43:D43"/>
    <mergeCell ref="B77:D77"/>
    <mergeCell ref="F9:M11"/>
    <mergeCell ref="F21:M22"/>
  </mergeCells>
  <conditionalFormatting sqref="E3:G3">
    <cfRule type="cellIs" priority="2" operator="notEqual" dxfId="0">
      <formula>2</formula>
    </cfRule>
  </conditionalFormatting>
  <conditionalFormatting sqref="E4:G4">
    <cfRule type="cellIs" priority="1" operator="notEqual" dxfId="0">
      <formula>6</formula>
    </cfRule>
  </conditionalFormatting>
  <pageMargins left="0.12" right="0.2" top="0.33" bottom="0.28" header="0.17" footer="0.14"/>
  <pageSetup orientation="landscape" paperSize="9" horizontalDpi="4294967293" verticalDpi="0"/>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B1:N78"/>
  <sheetViews>
    <sheetView topLeftCell="A10" workbookViewId="0">
      <selection activeCell="C24" sqref="C24"/>
    </sheetView>
  </sheetViews>
  <sheetFormatPr baseColWidth="8" defaultRowHeight="15"/>
  <cols>
    <col width="1.42578125" customWidth="1" min="1" max="1"/>
    <col width="14.28515625" customWidth="1" style="1" min="2" max="2"/>
    <col width="48.5703125" customWidth="1" min="3" max="3"/>
    <col width="12.140625" customWidth="1" style="1" min="4" max="4"/>
    <col width="2.7109375" customWidth="1" min="5" max="5"/>
    <col width="8" customWidth="1" min="6" max="13"/>
  </cols>
  <sheetData>
    <row r="1" ht="18" customHeight="1">
      <c r="B1" s="74" t="inlineStr">
        <is>
          <t>ΕΒΔΟΜΑΔΙΑΙΟ ΦΥΛΛΟ ΠΡΑΚΤΙΚΗΣ ΑΣΚΗΣΗΣ</t>
        </is>
      </c>
    </row>
    <row r="3" ht="18.75" customHeight="1">
      <c r="B3" s="10" t="inlineStr">
        <is>
          <t>ΕΒΔΟΜΑΔΑ</t>
        </is>
      </c>
      <c r="C3" s="11" t="inlineStr">
        <is>
          <t>από Δευτέρα:</t>
        </is>
      </c>
      <c r="D3" s="30" t="n"/>
      <c r="E3" s="163">
        <f>WEEKDAY(D3)</f>
        <v/>
      </c>
    </row>
    <row r="4" ht="18.75" customHeight="1">
      <c r="B4" s="34">
        <f>(extra!D3-'Στοιχεία Πρακτικής'!C21)/7 + 1</f>
        <v/>
      </c>
      <c r="C4" s="11" t="inlineStr">
        <is>
          <t>έως Παρασκευή:</t>
        </is>
      </c>
      <c r="D4" s="31">
        <f>D3+4</f>
        <v/>
      </c>
      <c r="E4" s="163">
        <f>WEEKDAY(D4)</f>
        <v/>
      </c>
    </row>
    <row r="6" ht="31.5" customHeight="1">
      <c r="B6" s="13" t="inlineStr">
        <is>
          <t>ΗΜΕΡΑ</t>
        </is>
      </c>
      <c r="C6" s="14" t="inlineStr">
        <is>
          <t>ΠΕΡΙΛΗΨΗ ΕΡΓΑΣΙΩΝ
 ΠΟΥ ΕΚΕΤΕΛΕΣΤΗΚΑΝ</t>
        </is>
      </c>
      <c r="D6" s="13" t="inlineStr">
        <is>
          <t>ΩΡΕΣ</t>
        </is>
      </c>
      <c r="F6" s="77" t="inlineStr">
        <is>
          <t>ΕΒΔΟΜΑΔΙΑΙΕΣ ΣΗΜΕΙΩΣΕΙΣ - ΠΑΡΑΤΗΡΗΣΕΙΣ ΑΣΚΟΥΜΕΝΟΥ</t>
        </is>
      </c>
      <c r="G6" s="164" t="n"/>
      <c r="H6" s="164" t="n"/>
      <c r="I6" s="164" t="n"/>
      <c r="J6" s="164" t="n"/>
      <c r="K6" s="164" t="n"/>
      <c r="L6" s="164" t="n"/>
      <c r="M6" s="165" t="n"/>
    </row>
    <row r="7" ht="76.5" customHeight="1">
      <c r="B7" s="24">
        <f>D3</f>
        <v/>
      </c>
      <c r="C7" s="22" t="n"/>
      <c r="D7" s="26" t="n"/>
      <c r="F7" s="166" t="n"/>
      <c r="G7" s="167" t="n"/>
      <c r="H7" s="167" t="n"/>
      <c r="I7" s="167" t="n"/>
      <c r="J7" s="167" t="n"/>
      <c r="K7" s="167" t="n"/>
      <c r="L7" s="167" t="n"/>
      <c r="M7" s="149" t="n"/>
    </row>
    <row r="8" ht="76.5" customHeight="1">
      <c r="B8" s="24">
        <f>B7+1</f>
        <v/>
      </c>
      <c r="C8" s="22" t="n"/>
      <c r="D8" s="26" t="n"/>
      <c r="F8" s="168" t="n"/>
      <c r="G8" s="169" t="n"/>
      <c r="H8" s="169" t="n"/>
      <c r="I8" s="169" t="n"/>
      <c r="J8" s="169" t="n"/>
      <c r="K8" s="169" t="n"/>
      <c r="L8" s="169" t="n"/>
      <c r="M8" s="153" t="n"/>
    </row>
    <row r="9" ht="76.5" customHeight="1">
      <c r="B9" s="24">
        <f>B8+1</f>
        <v/>
      </c>
      <c r="C9" s="22" t="n"/>
      <c r="D9" s="26" t="n"/>
      <c r="F9" s="180">
        <f>'1ος'!F9:M11</f>
        <v/>
      </c>
      <c r="G9" s="171" t="n"/>
      <c r="H9" s="171" t="n"/>
      <c r="I9" s="171" t="n"/>
      <c r="J9" s="171" t="n"/>
      <c r="K9" s="171" t="n"/>
      <c r="L9" s="171" t="n"/>
      <c r="M9" s="172" t="n"/>
    </row>
    <row r="10" ht="76.5" customHeight="1">
      <c r="B10" s="24">
        <f>B9+1</f>
        <v/>
      </c>
      <c r="C10" s="22" t="n"/>
      <c r="D10" s="26" t="n"/>
      <c r="F10" s="173" t="n"/>
      <c r="M10" s="174" t="n"/>
    </row>
    <row r="11" ht="76.5" customHeight="1">
      <c r="B11" s="27">
        <f>B10+1</f>
        <v/>
      </c>
      <c r="C11" s="23" t="n"/>
      <c r="D11" s="29" t="n"/>
      <c r="F11" s="175" t="n"/>
      <c r="G11" s="176" t="n"/>
      <c r="H11" s="176" t="n"/>
      <c r="I11" s="176" t="n"/>
      <c r="J11" s="176" t="n"/>
      <c r="K11" s="176" t="n"/>
      <c r="L11" s="176" t="n"/>
      <c r="M11" s="177" t="n"/>
    </row>
    <row r="12" ht="19.5" customHeight="1">
      <c r="C12" s="15" t="inlineStr">
        <is>
          <t>Σύνολο Εβδομαδιαίων Ωρών:</t>
        </is>
      </c>
      <c r="D12" s="16">
        <f>SUM(D7:D11)</f>
        <v/>
      </c>
    </row>
    <row r="13" ht="19.5" customHeight="1">
      <c r="C13" s="15" t="inlineStr">
        <is>
          <t>Ημέρες Εργασίας Εβδομάδας:</t>
        </is>
      </c>
      <c r="D13" s="16">
        <f>COUNTA(D7:D11)</f>
        <v/>
      </c>
      <c r="K13" s="17" t="inlineStr">
        <is>
          <t>Σύνολο Εργάσιμων Ημερών:</t>
        </is>
      </c>
      <c r="L13" s="18">
        <f>D13+'5ος'!L69</f>
        <v/>
      </c>
    </row>
    <row r="14">
      <c r="N14" s="1" t="n"/>
    </row>
    <row r="15" ht="18" customHeight="1">
      <c r="B15" s="74" t="inlineStr">
        <is>
          <t>ΕΒΔΟΜΑΔΙΑΙΟ ΦΥΛΛΟ ΠΡΑΚΤΙΚΗΣ ΑΣΚΗΣΗΣ</t>
        </is>
      </c>
    </row>
    <row r="17" ht="18.75" customHeight="1">
      <c r="B17" s="10" t="inlineStr">
        <is>
          <t>ΕΒΔΟΜΑΔΑ</t>
        </is>
      </c>
      <c r="C17" s="11" t="inlineStr">
        <is>
          <t>από Δευτέρα:</t>
        </is>
      </c>
      <c r="D17" s="32">
        <f>D3+7</f>
        <v/>
      </c>
      <c r="E17" s="178">
        <f>D17</f>
        <v/>
      </c>
    </row>
    <row r="18" ht="18.75" customHeight="1">
      <c r="B18" s="12">
        <f>B4+1</f>
        <v/>
      </c>
      <c r="C18" s="11" t="inlineStr">
        <is>
          <t>έως Παρασκευή:</t>
        </is>
      </c>
      <c r="D18" s="31">
        <f>D17+4</f>
        <v/>
      </c>
      <c r="E18" s="178">
        <f>D18</f>
        <v/>
      </c>
    </row>
    <row r="20" ht="31.5" customHeight="1">
      <c r="B20" s="13" t="inlineStr">
        <is>
          <t>ΗΜΕΡΑ</t>
        </is>
      </c>
      <c r="C20" s="14" t="inlineStr">
        <is>
          <t>ΠΕΡΙΛΗΨΗ ΕΡΓΑΣΙΩΝ
 ΠΟΥ ΕΚΕΤΕΛΕΣΤΗΚΑΝ</t>
        </is>
      </c>
      <c r="D20" s="13" t="inlineStr">
        <is>
          <t>ΩΡΕΣ</t>
        </is>
      </c>
      <c r="F20" s="77" t="inlineStr">
        <is>
          <t>ΕΒΔΟΜΑΔΙΑΙΕΣ ΣΗΜΕΙΩΣΕΙΣ - ΠΑΡΑΤΗΡΗΣΕΙΣ ΑΣΚΟΥΜΕΝΟΥ</t>
        </is>
      </c>
      <c r="G20" s="164" t="n"/>
      <c r="H20" s="164" t="n"/>
      <c r="I20" s="164" t="n"/>
      <c r="J20" s="164" t="n"/>
      <c r="K20" s="164" t="n"/>
      <c r="L20" s="164" t="n"/>
      <c r="M20" s="165" t="n"/>
    </row>
    <row r="21" ht="76.5" customHeight="1">
      <c r="B21" s="24">
        <f>D17</f>
        <v/>
      </c>
      <c r="C21" s="22" t="n"/>
      <c r="D21" s="26" t="n"/>
      <c r="F21" s="179" t="n"/>
      <c r="G21" s="167" t="n"/>
      <c r="H21" s="167" t="n"/>
      <c r="I21" s="167" t="n"/>
      <c r="J21" s="167" t="n"/>
      <c r="K21" s="167" t="n"/>
      <c r="L21" s="167" t="n"/>
      <c r="M21" s="149" t="n"/>
    </row>
    <row r="22" ht="76.5" customHeight="1">
      <c r="B22" s="24">
        <f>B21+1</f>
        <v/>
      </c>
      <c r="C22" s="22" t="n"/>
      <c r="D22" s="26" t="n"/>
      <c r="F22" s="168" t="n"/>
      <c r="G22" s="169" t="n"/>
      <c r="H22" s="169" t="n"/>
      <c r="I22" s="169" t="n"/>
      <c r="J22" s="169" t="n"/>
      <c r="K22" s="169" t="n"/>
      <c r="L22" s="169" t="n"/>
      <c r="M22" s="153" t="n"/>
    </row>
    <row r="23" ht="76.5" customHeight="1">
      <c r="B23" s="24">
        <f>B22+1</f>
        <v/>
      </c>
      <c r="C23" s="22" t="n"/>
      <c r="D23" s="26" t="n"/>
    </row>
    <row r="24" ht="76.5" customHeight="1">
      <c r="B24" s="24">
        <f>B23+1</f>
        <v/>
      </c>
      <c r="C24" s="22" t="n"/>
      <c r="D24" s="26" t="n"/>
    </row>
    <row r="25" ht="76.5" customHeight="1">
      <c r="B25" s="27">
        <f>B24+1</f>
        <v/>
      </c>
      <c r="C25" s="23" t="n"/>
      <c r="D25" s="29" t="n"/>
    </row>
    <row r="26" ht="19.5" customHeight="1">
      <c r="C26" s="15" t="inlineStr">
        <is>
          <t>Σύνολο Εβδομαδιαίων Ωρών:</t>
        </is>
      </c>
      <c r="D26" s="16">
        <f>SUM(D21:D25)</f>
        <v/>
      </c>
    </row>
    <row r="27" ht="19.5" customHeight="1">
      <c r="C27" s="15" t="inlineStr">
        <is>
          <t>Ημέρες Εργασίας Εβδομάδας:</t>
        </is>
      </c>
      <c r="D27" s="16">
        <f>COUNTA(D21:D25)</f>
        <v/>
      </c>
      <c r="K27" s="17" t="inlineStr">
        <is>
          <t>Σύνολο Εργάσιμων Ημερών:</t>
        </is>
      </c>
      <c r="L27" s="18">
        <f>D27+L13</f>
        <v/>
      </c>
    </row>
    <row r="29" ht="18" customHeight="1">
      <c r="B29" s="74" t="inlineStr">
        <is>
          <t>ΕΒΔΟΜΑΔΙΑΙΟ ΦΥΛΛΟ ΠΡΑΚΤΙΚΗΣ ΑΣΚΗΣΗΣ</t>
        </is>
      </c>
    </row>
    <row r="31" ht="18.75" customHeight="1">
      <c r="B31" s="10" t="inlineStr">
        <is>
          <t>ΕΒΔΟΜΑΔΑ</t>
        </is>
      </c>
      <c r="C31" s="11" t="inlineStr">
        <is>
          <t>από Δευτέρα:</t>
        </is>
      </c>
      <c r="D31" s="32">
        <f>D17+7</f>
        <v/>
      </c>
      <c r="E31" s="178">
        <f>D31</f>
        <v/>
      </c>
    </row>
    <row r="32" ht="18.75" customHeight="1">
      <c r="B32" s="12">
        <f>B18+1</f>
        <v/>
      </c>
      <c r="C32" s="11" t="inlineStr">
        <is>
          <t>έως Παρασκευή:</t>
        </is>
      </c>
      <c r="D32" s="31">
        <f>D31+4</f>
        <v/>
      </c>
      <c r="E32" s="178">
        <f>D32</f>
        <v/>
      </c>
    </row>
    <row r="34" ht="31.5" customHeight="1">
      <c r="B34" s="13" t="inlineStr">
        <is>
          <t>ΗΜΕΡΑ</t>
        </is>
      </c>
      <c r="C34" s="14" t="inlineStr">
        <is>
          <t>ΠΕΡΙΛΗΨΗ ΕΡΓΑΣΙΩΝ
 ΠΟΥ ΕΚΕΤΕΛΕΣΤΗΚΑΝ</t>
        </is>
      </c>
      <c r="D34" s="13" t="inlineStr">
        <is>
          <t>ΩΡΕΣ</t>
        </is>
      </c>
      <c r="F34" s="77" t="inlineStr">
        <is>
          <t>ΕΒΔΟΜΑΔΙΑΙΕΣ ΣΗΜΕΙΩΣΕΙΣ - ΠΑΡΑΤΗΡΗΣΕΙΣ ΑΣΚΟΥΜΕΝΟΥ</t>
        </is>
      </c>
      <c r="G34" s="164" t="n"/>
      <c r="H34" s="164" t="n"/>
      <c r="I34" s="164" t="n"/>
      <c r="J34" s="164" t="n"/>
      <c r="K34" s="164" t="n"/>
      <c r="L34" s="164" t="n"/>
      <c r="M34" s="165" t="n"/>
    </row>
    <row r="35" ht="76.5" customHeight="1">
      <c r="B35" s="24">
        <f>D31</f>
        <v/>
      </c>
      <c r="C35" s="25" t="n"/>
      <c r="D35" s="26" t="n"/>
      <c r="F35" s="179" t="n"/>
      <c r="G35" s="167" t="n"/>
      <c r="H35" s="167" t="n"/>
      <c r="I35" s="167" t="n"/>
      <c r="J35" s="167" t="n"/>
      <c r="K35" s="167" t="n"/>
      <c r="L35" s="167" t="n"/>
      <c r="M35" s="149" t="n"/>
    </row>
    <row r="36" ht="76.5" customHeight="1">
      <c r="B36" s="24">
        <f>B35+1</f>
        <v/>
      </c>
      <c r="C36" s="25" t="n"/>
      <c r="D36" s="26" t="n"/>
      <c r="F36" s="168" t="n"/>
      <c r="G36" s="169" t="n"/>
      <c r="H36" s="169" t="n"/>
      <c r="I36" s="169" t="n"/>
      <c r="J36" s="169" t="n"/>
      <c r="K36" s="169" t="n"/>
      <c r="L36" s="169" t="n"/>
      <c r="M36" s="153" t="n"/>
    </row>
    <row r="37" ht="76.5" customHeight="1">
      <c r="B37" s="24">
        <f>B36+1</f>
        <v/>
      </c>
      <c r="C37" s="25" t="n"/>
      <c r="D37" s="26" t="n"/>
    </row>
    <row r="38" ht="76.5" customHeight="1">
      <c r="B38" s="24">
        <f>B37+1</f>
        <v/>
      </c>
      <c r="C38" s="25" t="n"/>
      <c r="D38" s="26" t="n"/>
    </row>
    <row r="39" ht="76.5" customHeight="1">
      <c r="B39" s="27">
        <f>B38+1</f>
        <v/>
      </c>
      <c r="C39" s="28" t="n"/>
      <c r="D39" s="29" t="n"/>
    </row>
    <row r="40" ht="19.5" customHeight="1">
      <c r="C40" s="15" t="inlineStr">
        <is>
          <t>Σύνολο Εβδομαδιαίων Ωρών:</t>
        </is>
      </c>
      <c r="D40" s="16">
        <f>SUM(D35:D39)</f>
        <v/>
      </c>
    </row>
    <row r="41" ht="19.5" customHeight="1">
      <c r="C41" s="15" t="inlineStr">
        <is>
          <t>Ημέρες Εργασίας Εβδομάδας:</t>
        </is>
      </c>
      <c r="D41" s="16">
        <f>COUNTA(D35:D39)</f>
        <v/>
      </c>
      <c r="K41" s="17" t="inlineStr">
        <is>
          <t>Σύνολο Εργάσιμων Ημερών:</t>
        </is>
      </c>
      <c r="L41" s="18">
        <f>D41+L27</f>
        <v/>
      </c>
    </row>
    <row r="43" ht="18" customHeight="1">
      <c r="B43" s="74" t="inlineStr">
        <is>
          <t>ΕΒΔΟΜΑΔΙΑΙΟ ΦΥΛΛΟ ΠΡΑΚΤΙΚΗΣ ΑΣΚΗΣΗΣ</t>
        </is>
      </c>
    </row>
    <row r="45" ht="18.75" customHeight="1">
      <c r="B45" s="10" t="inlineStr">
        <is>
          <t>ΕΒΔΟΜΑΔΑ</t>
        </is>
      </c>
      <c r="C45" s="11" t="inlineStr">
        <is>
          <t>από Δευτέρα:</t>
        </is>
      </c>
      <c r="D45" s="32">
        <f>D31+7</f>
        <v/>
      </c>
      <c r="E45" s="178">
        <f>D45</f>
        <v/>
      </c>
    </row>
    <row r="46" ht="18.75" customHeight="1">
      <c r="B46" s="12">
        <f>B32+1</f>
        <v/>
      </c>
      <c r="C46" s="11" t="inlineStr">
        <is>
          <t>έως Παρασκευή:</t>
        </is>
      </c>
      <c r="D46" s="31">
        <f>D45+4</f>
        <v/>
      </c>
      <c r="E46" s="178">
        <f>D46</f>
        <v/>
      </c>
    </row>
    <row r="48" ht="31.5" customHeight="1">
      <c r="B48" s="13" t="inlineStr">
        <is>
          <t>ΗΜΕΡΑ</t>
        </is>
      </c>
      <c r="C48" s="14" t="inlineStr">
        <is>
          <t>ΠΕΡΙΛΗΨΗ ΕΡΓΑΣΙΩΝ
 ΠΟΥ ΕΚΕΤΕΛΕΣΤΗΚΑΝ</t>
        </is>
      </c>
      <c r="D48" s="13" t="inlineStr">
        <is>
          <t>ΩΡΕΣ</t>
        </is>
      </c>
      <c r="F48" s="77" t="inlineStr">
        <is>
          <t>ΕΒΔΟΜΑΔΙΑΙΕΣ ΣΗΜΕΙΩΣΕΙΣ - ΠΑΡΑΤΗΡΗΣΕΙΣ ΑΣΚΟΥΜΕΝΟΥ</t>
        </is>
      </c>
      <c r="G48" s="164" t="n"/>
      <c r="H48" s="164" t="n"/>
      <c r="I48" s="164" t="n"/>
      <c r="J48" s="164" t="n"/>
      <c r="K48" s="164" t="n"/>
      <c r="L48" s="164" t="n"/>
      <c r="M48" s="165" t="n"/>
    </row>
    <row r="49" ht="76.5" customHeight="1">
      <c r="B49" s="24">
        <f>D45</f>
        <v/>
      </c>
      <c r="C49" s="25" t="n"/>
      <c r="D49" s="26" t="n"/>
      <c r="F49" s="179" t="n"/>
      <c r="G49" s="167" t="n"/>
      <c r="H49" s="167" t="n"/>
      <c r="I49" s="167" t="n"/>
      <c r="J49" s="167" t="n"/>
      <c r="K49" s="167" t="n"/>
      <c r="L49" s="167" t="n"/>
      <c r="M49" s="149" t="n"/>
    </row>
    <row r="50" ht="76.5" customHeight="1">
      <c r="B50" s="24">
        <f>B49+1</f>
        <v/>
      </c>
      <c r="C50" s="25" t="n"/>
      <c r="D50" s="26" t="n"/>
      <c r="F50" s="168" t="n"/>
      <c r="G50" s="169" t="n"/>
      <c r="H50" s="169" t="n"/>
      <c r="I50" s="169" t="n"/>
      <c r="J50" s="169" t="n"/>
      <c r="K50" s="169" t="n"/>
      <c r="L50" s="169" t="n"/>
      <c r="M50" s="153" t="n"/>
    </row>
    <row r="51" ht="76.5" customHeight="1">
      <c r="B51" s="24">
        <f>B50+1</f>
        <v/>
      </c>
      <c r="C51" s="25" t="n"/>
      <c r="D51" s="26" t="n"/>
    </row>
    <row r="52" ht="76.5" customHeight="1">
      <c r="B52" s="24">
        <f>B51+1</f>
        <v/>
      </c>
      <c r="C52" s="25" t="n"/>
      <c r="D52" s="26" t="n"/>
    </row>
    <row r="53" ht="76.5" customHeight="1">
      <c r="B53" s="27">
        <f>B52+1</f>
        <v/>
      </c>
      <c r="C53" s="28" t="n"/>
      <c r="D53" s="29" t="n"/>
    </row>
    <row r="54" ht="19.5" customHeight="1">
      <c r="C54" s="15" t="inlineStr">
        <is>
          <t>Σύνολο Εβδομαδιαίων Ωρών:</t>
        </is>
      </c>
      <c r="D54" s="16">
        <f>SUM(D49:D53)</f>
        <v/>
      </c>
    </row>
    <row r="55" ht="19.5" customHeight="1">
      <c r="C55" s="15" t="inlineStr">
        <is>
          <t>Ημέρες Εργασίας Εβδομάδας:</t>
        </is>
      </c>
      <c r="D55" s="16">
        <f>COUNTA(D49:D53)</f>
        <v/>
      </c>
      <c r="K55" s="17" t="inlineStr">
        <is>
          <t>Σύνολο Εργάσιμων Ημερών:</t>
        </is>
      </c>
      <c r="L55" s="18">
        <f>D55+L41</f>
        <v/>
      </c>
    </row>
    <row r="57" ht="18" customHeight="1">
      <c r="B57" s="74" t="inlineStr">
        <is>
          <t>ΕΒΔΟΜΑΔΙΑΙΟ ΦΥΛΛΟ ΠΡΑΚΤΙΚΗΣ ΑΣΚΗΣΗΣ</t>
        </is>
      </c>
    </row>
    <row r="59" ht="18.75" customHeight="1">
      <c r="B59" s="10" t="inlineStr">
        <is>
          <t>ΕΒΔΟΜΑΔΑ</t>
        </is>
      </c>
      <c r="C59" s="11" t="inlineStr">
        <is>
          <t>από Δευτέρα:</t>
        </is>
      </c>
      <c r="D59" s="32">
        <f>D45+7</f>
        <v/>
      </c>
      <c r="E59" s="178">
        <f>D59</f>
        <v/>
      </c>
    </row>
    <row r="60" ht="18.75" customHeight="1">
      <c r="B60" s="12">
        <f>B46+1</f>
        <v/>
      </c>
      <c r="C60" s="11" t="inlineStr">
        <is>
          <t>έως Παρασκευή:</t>
        </is>
      </c>
      <c r="D60" s="31">
        <f>D59+4</f>
        <v/>
      </c>
      <c r="E60" s="178">
        <f>D60</f>
        <v/>
      </c>
    </row>
    <row r="62" ht="31.5" customHeight="1">
      <c r="B62" s="13" t="inlineStr">
        <is>
          <t>ΗΜΕΡΑ</t>
        </is>
      </c>
      <c r="C62" s="14" t="inlineStr">
        <is>
          <t>ΠΕΡΙΛΗΨΗ ΕΡΓΑΣΙΩΝ
 ΠΟΥ ΕΚΕΤΕΛΕΣΤΗΚΑΝ</t>
        </is>
      </c>
      <c r="D62" s="13" t="inlineStr">
        <is>
          <t>ΩΡΕΣ</t>
        </is>
      </c>
      <c r="F62" s="77" t="inlineStr">
        <is>
          <t>ΕΒΔΟΜΑΔΙΑΙΕΣ ΣΗΜΕΙΩΣΕΙΣ - ΠΑΡΑΤΗΡΗΣΕΙΣ ΑΣΚΟΥΜΕΝΟΥ</t>
        </is>
      </c>
      <c r="G62" s="164" t="n"/>
      <c r="H62" s="164" t="n"/>
      <c r="I62" s="164" t="n"/>
      <c r="J62" s="164" t="n"/>
      <c r="K62" s="164" t="n"/>
      <c r="L62" s="164" t="n"/>
      <c r="M62" s="165" t="n"/>
    </row>
    <row r="63" ht="76.5" customHeight="1">
      <c r="B63" s="24">
        <f>D59</f>
        <v/>
      </c>
      <c r="C63" s="25" t="n"/>
      <c r="D63" s="26" t="n"/>
      <c r="F63" s="179" t="n"/>
      <c r="G63" s="167" t="n"/>
      <c r="H63" s="167" t="n"/>
      <c r="I63" s="167" t="n"/>
      <c r="J63" s="167" t="n"/>
      <c r="K63" s="167" t="n"/>
      <c r="L63" s="167" t="n"/>
      <c r="M63" s="149" t="n"/>
    </row>
    <row r="64" ht="76.5" customHeight="1">
      <c r="B64" s="24">
        <f>B63+1</f>
        <v/>
      </c>
      <c r="C64" s="25" t="n"/>
      <c r="D64" s="26" t="n"/>
      <c r="F64" s="168" t="n"/>
      <c r="G64" s="169" t="n"/>
      <c r="H64" s="169" t="n"/>
      <c r="I64" s="169" t="n"/>
      <c r="J64" s="169" t="n"/>
      <c r="K64" s="169" t="n"/>
      <c r="L64" s="169" t="n"/>
      <c r="M64" s="153" t="n"/>
    </row>
    <row r="65" ht="76.5" customHeight="1">
      <c r="B65" s="24">
        <f>B64+1</f>
        <v/>
      </c>
      <c r="C65" s="25" t="n"/>
      <c r="D65" s="26" t="n"/>
    </row>
    <row r="66" ht="76.5" customHeight="1">
      <c r="B66" s="24">
        <f>B65+1</f>
        <v/>
      </c>
      <c r="C66" s="25" t="n"/>
      <c r="D66" s="26" t="n"/>
    </row>
    <row r="67" ht="76.5" customHeight="1">
      <c r="B67" s="27">
        <f>B66+1</f>
        <v/>
      </c>
      <c r="C67" s="28" t="n"/>
      <c r="D67" s="29" t="n"/>
    </row>
    <row r="68" ht="19.5" customHeight="1">
      <c r="C68" s="15" t="inlineStr">
        <is>
          <t>Σύνολο Εβδομαδιαίων Ωρών:</t>
        </is>
      </c>
      <c r="D68" s="16">
        <f>SUM(D63:D67)</f>
        <v/>
      </c>
    </row>
    <row r="69" ht="19.5" customHeight="1">
      <c r="C69" s="15" t="inlineStr">
        <is>
          <t>Ημέρες Εργασίας Εβδομάδας:</t>
        </is>
      </c>
      <c r="D69" s="16">
        <f>COUNTA(D63:D67)</f>
        <v/>
      </c>
      <c r="K69" s="17" t="inlineStr">
        <is>
          <t>Σύνολο Εργάσιμων Ημερών:</t>
        </is>
      </c>
      <c r="L69" s="18">
        <f>D69+L55</f>
        <v/>
      </c>
    </row>
    <row r="73" ht="16.5" customHeight="1">
      <c r="B73" s="181" t="inlineStr">
        <is>
          <t>ΜΗΝΙΑΙΑ ΕΚΘΕΣΗ ΕΡΓΑΣΙΑΚΩΝ ΕΜΠΕΙΡΙΩΝ ΑΣΚΟΥΜΕΝΟΥ</t>
        </is>
      </c>
      <c r="C73" s="164" t="n"/>
      <c r="D73" s="165" t="n"/>
    </row>
    <row r="74" ht="150" customHeight="1">
      <c r="B74" s="166" t="n"/>
      <c r="C74" s="182" t="n"/>
      <c r="D74" s="183" t="n"/>
    </row>
    <row r="77" ht="16.5" customHeight="1">
      <c r="B77" s="181" t="inlineStr">
        <is>
          <t>ΜΗΝΙΑΙΑ ΕΚΘΕΣΗ ΕΠΟΠΤΗ ΕΚΠΑΙΔΕΥΤΙΚΟΥ</t>
        </is>
      </c>
      <c r="C77" s="164" t="n"/>
      <c r="D77" s="165" t="n"/>
    </row>
    <row r="78" ht="150" customHeight="1">
      <c r="B78" s="184" t="n"/>
      <c r="C78" s="182" t="n"/>
      <c r="D78" s="183" t="n"/>
    </row>
  </sheetData>
  <sheetProtection selectLockedCells="1" selectUnlockedCells="0" algorithmName="SHA-512" sheet="1" objects="1" insertRows="1" insertHyperlinks="1" autoFilter="1" scenarios="1" formatColumns="1" deleteColumns="1" insertColumns="1" pivotTables="1" deleteRows="1" formatCells="1" saltValue="stByBIGr6WtNJN9BPxfLVQ==" formatRows="1" sort="1" spinCount="100000" hashValue="rARtHRL9qNq4Q7G2ORJzlKwgb/7Hc6sRXwmo245ZO4qf3AB7URwQSRUqndi/xyQc77hI1iWItazmJZbyceSX0A=="/>
  <mergeCells count="30">
    <mergeCell ref="F35:M36"/>
    <mergeCell ref="E60:G60"/>
    <mergeCell ref="B57:D57"/>
    <mergeCell ref="B1:D1"/>
    <mergeCell ref="E31:G31"/>
    <mergeCell ref="F34:M34"/>
    <mergeCell ref="B73:D73"/>
    <mergeCell ref="F6:M6"/>
    <mergeCell ref="B78:D78"/>
    <mergeCell ref="B29:D29"/>
    <mergeCell ref="E59:G59"/>
    <mergeCell ref="E46:G46"/>
    <mergeCell ref="E45:G45"/>
    <mergeCell ref="F20:M20"/>
    <mergeCell ref="B74:D74"/>
    <mergeCell ref="F49:M50"/>
    <mergeCell ref="B15:D15"/>
    <mergeCell ref="E32:G32"/>
    <mergeCell ref="F62:M62"/>
    <mergeCell ref="F7:M8"/>
    <mergeCell ref="F63:M64"/>
    <mergeCell ref="E18:G18"/>
    <mergeCell ref="E3:G3"/>
    <mergeCell ref="F48:M48"/>
    <mergeCell ref="E17:G17"/>
    <mergeCell ref="E4:G4"/>
    <mergeCell ref="B43:D43"/>
    <mergeCell ref="B77:D77"/>
    <mergeCell ref="F9:M11"/>
    <mergeCell ref="F21:M22"/>
  </mergeCells>
  <conditionalFormatting sqref="E3:G3">
    <cfRule type="cellIs" priority="2" operator="notEqual" dxfId="0">
      <formula>2</formula>
    </cfRule>
  </conditionalFormatting>
  <conditionalFormatting sqref="E4:G4">
    <cfRule type="cellIs" priority="1" operator="notEqual" dxfId="0">
      <formula>6</formula>
    </cfRule>
  </conditionalFormatting>
  <pageMargins left="0.12" right="0.2" top="0.33" bottom="0.28" header="0.17" footer="0.14"/>
  <pageSetup orientation="landscape" paperSize="9" horizontalDpi="4294967293" verticalDpi="0"/>
  <legacyDrawing xmlns:r="http://schemas.openxmlformats.org/officeDocument/2006/relationships" r:id="anysvml"/>
</worksheet>
</file>

<file path=xl/worksheets/sheet9.xml><?xml version="1.0" encoding="utf-8"?>
<worksheet xmlns="http://schemas.openxmlformats.org/spreadsheetml/2006/main">
  <sheetPr>
    <tabColor rgb="FFFF0000"/>
    <outlinePr summaryBelow="1" summaryRight="1"/>
    <pageSetUpPr/>
  </sheetPr>
  <dimension ref="B1:H45"/>
  <sheetViews>
    <sheetView workbookViewId="0">
      <selection activeCell="B26" sqref="B26"/>
    </sheetView>
  </sheetViews>
  <sheetFormatPr baseColWidth="8" defaultRowHeight="15"/>
  <cols>
    <col width="3.5703125" customWidth="1" min="1" max="1"/>
    <col width="14.28515625" customWidth="1" min="2" max="4"/>
    <col width="1.28515625" customWidth="1" min="5" max="5"/>
    <col width="14.28515625" customWidth="1" min="6" max="8"/>
  </cols>
  <sheetData>
    <row r="1" ht="18.75" customHeight="1">
      <c r="B1" s="135">
        <f>'Στοιχεία Πρακτικής'!C5</f>
        <v/>
      </c>
      <c r="F1" s="136">
        <f>'Στοιχεία Πρακτικής'!C6</f>
        <v/>
      </c>
    </row>
    <row r="2" ht="31.5" customHeight="1">
      <c r="B2" s="138" t="inlineStr">
        <is>
          <t>Απολογισμός Πρακτικής Άσκησης</t>
        </is>
      </c>
    </row>
    <row r="3">
      <c r="B3" s="137" t="inlineStr">
        <is>
          <t>πρέπει να συμπληρωθεί υποχρεωτικά από τον ασκούμενο</t>
        </is>
      </c>
    </row>
    <row r="4" ht="36" customHeight="1">
      <c r="B4" s="186" t="inlineStr">
        <is>
          <t>ΓΕΝΙΚΟΤΕΡΕΣ ΣΗΜΕΙΩΣΕΙΣ - ΠΑΡΑΤΗΡΗΣΕΙΣ 
ΤΟΥ ΑΣΚΟΥΜΕΝΟΥ ΓΙΑ ΤΙΣ ΕΡΓΑΣΙΑΚΕΣ ΕΜΠΕΙΡΙΕΣ</t>
        </is>
      </c>
      <c r="C4" s="187" t="n"/>
      <c r="D4" s="187" t="n"/>
      <c r="E4" s="187" t="n"/>
      <c r="F4" s="187" t="n"/>
      <c r="G4" s="187" t="n"/>
      <c r="H4" s="188" t="n"/>
    </row>
    <row r="5">
      <c r="B5" s="179" t="n"/>
      <c r="C5" s="167" t="n"/>
      <c r="D5" s="167" t="n"/>
      <c r="E5" s="167" t="n"/>
      <c r="F5" s="167" t="n"/>
      <c r="G5" s="167" t="n"/>
      <c r="H5" s="149" t="n"/>
    </row>
    <row r="6">
      <c r="B6" s="189" t="n"/>
      <c r="C6" s="190" t="n"/>
      <c r="D6" s="190" t="n"/>
      <c r="E6" s="190" t="n"/>
      <c r="F6" s="190" t="n"/>
      <c r="G6" s="190" t="n"/>
      <c r="H6" s="151" t="n"/>
    </row>
    <row r="7">
      <c r="B7" s="189" t="n"/>
      <c r="C7" s="190" t="n"/>
      <c r="D7" s="190" t="n"/>
      <c r="E7" s="190" t="n"/>
      <c r="F7" s="190" t="n"/>
      <c r="G7" s="190" t="n"/>
      <c r="H7" s="151" t="n"/>
    </row>
    <row r="8">
      <c r="B8" s="189" t="n"/>
      <c r="C8" s="190" t="n"/>
      <c r="D8" s="190" t="n"/>
      <c r="E8" s="190" t="n"/>
      <c r="F8" s="190" t="n"/>
      <c r="G8" s="190" t="n"/>
      <c r="H8" s="151" t="n"/>
    </row>
    <row r="9">
      <c r="B9" s="189" t="n"/>
      <c r="C9" s="190" t="n"/>
      <c r="D9" s="190" t="n"/>
      <c r="E9" s="190" t="n"/>
      <c r="F9" s="190" t="n"/>
      <c r="G9" s="190" t="n"/>
      <c r="H9" s="151" t="n"/>
    </row>
    <row r="10">
      <c r="B10" s="189" t="n"/>
      <c r="C10" s="190" t="n"/>
      <c r="D10" s="190" t="n"/>
      <c r="E10" s="190" t="n"/>
      <c r="F10" s="190" t="n"/>
      <c r="G10" s="190" t="n"/>
      <c r="H10" s="151" t="n"/>
    </row>
    <row r="11">
      <c r="B11" s="189" t="n"/>
      <c r="C11" s="190" t="n"/>
      <c r="D11" s="190" t="n"/>
      <c r="E11" s="190" t="n"/>
      <c r="F11" s="190" t="n"/>
      <c r="G11" s="190" t="n"/>
      <c r="H11" s="151" t="n"/>
    </row>
    <row r="12">
      <c r="B12" s="189" t="n"/>
      <c r="C12" s="190" t="n"/>
      <c r="D12" s="190" t="n"/>
      <c r="E12" s="190" t="n"/>
      <c r="F12" s="190" t="n"/>
      <c r="G12" s="190" t="n"/>
      <c r="H12" s="151" t="n"/>
    </row>
    <row r="13">
      <c r="B13" s="189" t="n"/>
      <c r="C13" s="190" t="n"/>
      <c r="D13" s="190" t="n"/>
      <c r="E13" s="190" t="n"/>
      <c r="F13" s="190" t="n"/>
      <c r="G13" s="190" t="n"/>
      <c r="H13" s="151" t="n"/>
    </row>
    <row r="14">
      <c r="B14" s="189" t="n"/>
      <c r="C14" s="190" t="n"/>
      <c r="D14" s="190" t="n"/>
      <c r="E14" s="190" t="n"/>
      <c r="F14" s="190" t="n"/>
      <c r="G14" s="190" t="n"/>
      <c r="H14" s="151" t="n"/>
    </row>
    <row r="15">
      <c r="B15" s="189" t="n"/>
      <c r="C15" s="190" t="n"/>
      <c r="D15" s="190" t="n"/>
      <c r="E15" s="190" t="n"/>
      <c r="F15" s="190" t="n"/>
      <c r="G15" s="190" t="n"/>
      <c r="H15" s="151" t="n"/>
    </row>
    <row r="16">
      <c r="B16" s="189" t="n"/>
      <c r="C16" s="190" t="n"/>
      <c r="D16" s="190" t="n"/>
      <c r="E16" s="190" t="n"/>
      <c r="F16" s="190" t="n"/>
      <c r="G16" s="190" t="n"/>
      <c r="H16" s="151" t="n"/>
    </row>
    <row r="17">
      <c r="B17" s="189" t="n"/>
      <c r="C17" s="190" t="n"/>
      <c r="D17" s="190" t="n"/>
      <c r="E17" s="190" t="n"/>
      <c r="F17" s="190" t="n"/>
      <c r="G17" s="190" t="n"/>
      <c r="H17" s="151" t="n"/>
    </row>
    <row r="18">
      <c r="B18" s="189" t="n"/>
      <c r="C18" s="190" t="n"/>
      <c r="D18" s="190" t="n"/>
      <c r="E18" s="190" t="n"/>
      <c r="F18" s="190" t="n"/>
      <c r="G18" s="190" t="n"/>
      <c r="H18" s="151" t="n"/>
    </row>
    <row r="19">
      <c r="B19" s="189" t="n"/>
      <c r="C19" s="190" t="n"/>
      <c r="D19" s="190" t="n"/>
      <c r="E19" s="190" t="n"/>
      <c r="F19" s="190" t="n"/>
      <c r="G19" s="190" t="n"/>
      <c r="H19" s="151" t="n"/>
    </row>
    <row r="20">
      <c r="B20" s="189" t="n"/>
      <c r="C20" s="190" t="n"/>
      <c r="D20" s="190" t="n"/>
      <c r="E20" s="190" t="n"/>
      <c r="F20" s="190" t="n"/>
      <c r="G20" s="190" t="n"/>
      <c r="H20" s="151" t="n"/>
    </row>
    <row r="21">
      <c r="B21" s="189" t="n"/>
      <c r="C21" s="190" t="n"/>
      <c r="D21" s="190" t="n"/>
      <c r="E21" s="190" t="n"/>
      <c r="F21" s="190" t="n"/>
      <c r="G21" s="190" t="n"/>
      <c r="H21" s="151" t="n"/>
    </row>
    <row r="22">
      <c r="B22" s="189" t="n"/>
      <c r="C22" s="190" t="n"/>
      <c r="D22" s="190" t="n"/>
      <c r="E22" s="190" t="n"/>
      <c r="F22" s="190" t="n"/>
      <c r="G22" s="190" t="n"/>
      <c r="H22" s="151" t="n"/>
    </row>
    <row r="23">
      <c r="B23" s="189" t="n"/>
      <c r="C23" s="190" t="n"/>
      <c r="D23" s="190" t="n"/>
      <c r="E23" s="190" t="n"/>
      <c r="F23" s="190" t="n"/>
      <c r="G23" s="190" t="n"/>
      <c r="H23" s="151" t="n"/>
    </row>
    <row r="24">
      <c r="B24" s="168" t="n"/>
      <c r="C24" s="169" t="n"/>
      <c r="D24" s="169" t="n"/>
      <c r="E24" s="169" t="n"/>
      <c r="F24" s="169" t="n"/>
      <c r="G24" s="169" t="n"/>
      <c r="H24" s="153" t="n"/>
    </row>
    <row r="25">
      <c r="B25" s="134" t="inlineStr">
        <is>
          <t>Για αλλαγή παραγράφου μέσα στο κελί, πατήστε Alt+Enter</t>
        </is>
      </c>
      <c r="C25" s="171" t="n"/>
      <c r="D25" s="171" t="n"/>
      <c r="E25" s="171" t="n"/>
      <c r="F25" s="171" t="n"/>
      <c r="G25" s="171" t="n"/>
      <c r="H25" s="171" t="n"/>
    </row>
    <row r="26" ht="28.5" customHeight="1"/>
    <row r="27">
      <c r="G27" s="52" t="inlineStr">
        <is>
          <t>(υπογραφή)</t>
        </is>
      </c>
    </row>
    <row r="28">
      <c r="G28" s="1" t="inlineStr">
        <is>
          <t>ο ασκούμενος</t>
        </is>
      </c>
    </row>
    <row r="29" ht="17.25" customHeight="1"/>
    <row r="30" ht="15" customHeight="1"/>
    <row r="31" ht="53.25" customHeight="1">
      <c r="B31" s="191" t="inlineStr">
        <is>
          <t>ΓΕΝΙΚΟΤΕΡΕΣ ΣΗΜΕΙΩΣΕΙΣ - ΠΑΡΑΤΗΡΗΣΕΙΣ 
ΕΠΟΠΤΗ ΕΚΑΙΔΕΥΤΙΚΟΥ (Προαιρετικό)
ΑΞΙΟΛΟΓΗΣΗ ΠΡΑΚΤΙΚΗΣ ΑΣΚΗΣΗΣ</t>
        </is>
      </c>
      <c r="C31" s="164" t="n"/>
      <c r="D31" s="164" t="n"/>
      <c r="E31" s="164" t="n"/>
      <c r="F31" s="164" t="n"/>
      <c r="G31" s="164" t="n"/>
      <c r="H31" s="165" t="n"/>
    </row>
    <row r="32">
      <c r="B32" s="192" t="n"/>
      <c r="C32" s="167" t="n"/>
      <c r="D32" s="167" t="n"/>
      <c r="E32" s="167" t="n"/>
      <c r="F32" s="167" t="n"/>
      <c r="G32" s="167" t="n"/>
      <c r="H32" s="149" t="n"/>
    </row>
    <row r="33">
      <c r="B33" s="189" t="n"/>
      <c r="C33" s="190" t="n"/>
      <c r="D33" s="190" t="n"/>
      <c r="E33" s="190" t="n"/>
      <c r="F33" s="190" t="n"/>
      <c r="G33" s="190" t="n"/>
      <c r="H33" s="151" t="n"/>
    </row>
    <row r="34">
      <c r="B34" s="189" t="n"/>
      <c r="C34" s="190" t="n"/>
      <c r="D34" s="190" t="n"/>
      <c r="E34" s="190" t="n"/>
      <c r="F34" s="190" t="n"/>
      <c r="G34" s="190" t="n"/>
      <c r="H34" s="151" t="n"/>
    </row>
    <row r="35">
      <c r="B35" s="189" t="n"/>
      <c r="C35" s="190" t="n"/>
      <c r="D35" s="190" t="n"/>
      <c r="E35" s="190" t="n"/>
      <c r="F35" s="190" t="n"/>
      <c r="G35" s="190" t="n"/>
      <c r="H35" s="151" t="n"/>
    </row>
    <row r="36">
      <c r="B36" s="189" t="n"/>
      <c r="C36" s="190" t="n"/>
      <c r="D36" s="190" t="n"/>
      <c r="E36" s="190" t="n"/>
      <c r="F36" s="190" t="n"/>
      <c r="G36" s="190" t="n"/>
      <c r="H36" s="151" t="n"/>
    </row>
    <row r="37">
      <c r="B37" s="189" t="n"/>
      <c r="C37" s="190" t="n"/>
      <c r="D37" s="190" t="n"/>
      <c r="E37" s="190" t="n"/>
      <c r="F37" s="190" t="n"/>
      <c r="G37" s="190" t="n"/>
      <c r="H37" s="151" t="n"/>
    </row>
    <row r="38">
      <c r="B38" s="189" t="n"/>
      <c r="C38" s="190" t="n"/>
      <c r="D38" s="190" t="n"/>
      <c r="E38" s="190" t="n"/>
      <c r="F38" s="190" t="n"/>
      <c r="G38" s="190" t="n"/>
      <c r="H38" s="151" t="n"/>
    </row>
    <row r="39">
      <c r="B39" s="189" t="n"/>
      <c r="C39" s="190" t="n"/>
      <c r="D39" s="190" t="n"/>
      <c r="E39" s="190" t="n"/>
      <c r="F39" s="190" t="n"/>
      <c r="G39" s="190" t="n"/>
      <c r="H39" s="151" t="n"/>
    </row>
    <row r="40">
      <c r="B40" s="189" t="n"/>
      <c r="C40" s="190" t="n"/>
      <c r="D40" s="190" t="n"/>
      <c r="E40" s="190" t="n"/>
      <c r="F40" s="190" t="n"/>
      <c r="G40" s="190" t="n"/>
      <c r="H40" s="151" t="n"/>
    </row>
    <row r="41">
      <c r="B41" s="168" t="n"/>
      <c r="C41" s="169" t="n"/>
      <c r="D41" s="169" t="n"/>
      <c r="E41" s="169" t="n"/>
      <c r="F41" s="169" t="n"/>
      <c r="G41" s="169" t="n"/>
      <c r="H41" s="153" t="n"/>
    </row>
    <row r="45">
      <c r="G45" s="1" t="inlineStr">
        <is>
          <t>ο επόπτης εκπ/κός</t>
        </is>
      </c>
    </row>
  </sheetData>
  <sheetProtection selectLockedCells="1" selectUnlockedCells="0" algorithmName="SHA-512" sheet="1" objects="1" insertRows="1" insertHyperlinks="1" autoFilter="1" scenarios="1" formatColumns="1" deleteColumns="1" insertColumns="1" pivotTables="1" deleteRows="1" formatCells="1" saltValue="oNVn0/4ZwyxYtqwGOToWSg==" formatRows="1" sort="1" spinCount="100000" hashValue="fRpgfdDtPu/gZQuRJ93DhJfFTkWizyO5tRb1PKJOP4y3UT1ZdK0cIGlCDlZl9c+l2f/t9KpMK9rF7cnrF8Ypvw=="/>
  <mergeCells count="9">
    <mergeCell ref="B5:H24"/>
    <mergeCell ref="B1:D1"/>
    <mergeCell ref="B4:H4"/>
    <mergeCell ref="F1:H1"/>
    <mergeCell ref="B31:H31"/>
    <mergeCell ref="B2:H2"/>
    <mergeCell ref="B25:H25"/>
    <mergeCell ref="B3:H3"/>
    <mergeCell ref="B32:H41"/>
  </mergeCells>
  <pageMargins left="0.59" right="0.52" top="0.48" bottom="0.41" header="0.3" footer="0.3"/>
  <pageSetup orientation="portrait" paperSize="9" horizontalDpi="4294967293" verticalDpi="599"/>
</worksheet>
</file>

<file path=xl/worksheets/sheet10.xml><?xml version="1.0" encoding="utf-8"?>
<worksheet xmlns="http://schemas.openxmlformats.org/spreadsheetml/2006/main">
  <sheetPr>
    <outlinePr summaryBelow="1" summaryRight="1"/>
    <pageSetUpPr/>
  </sheetPr>
  <dimension ref="B3:E63"/>
  <sheetViews>
    <sheetView workbookViewId="0">
      <selection activeCell="B24" sqref="B24:B43"/>
    </sheetView>
  </sheetViews>
  <sheetFormatPr baseColWidth="8" defaultRowHeight="15"/>
  <cols>
    <col width="35" customWidth="1" min="1" max="1"/>
    <col width="6.5703125" customWidth="1" min="2" max="2"/>
    <col width="3.7109375" bestFit="1" customWidth="1" min="3" max="3"/>
    <col width="18" bestFit="1" customWidth="1" min="4" max="4"/>
    <col width="15.85546875" customWidth="1" min="5" max="5"/>
    <col width="10.42578125" bestFit="1" customWidth="1" min="6" max="6"/>
  </cols>
  <sheetData>
    <row r="3">
      <c r="B3" s="45" t="inlineStr">
        <is>
          <t>Έτος</t>
        </is>
      </c>
      <c r="E3" s="45" t="inlineStr">
        <is>
          <t>Ημ/νία</t>
        </is>
      </c>
    </row>
    <row r="4">
      <c r="B4" s="147" t="n">
        <v>2024</v>
      </c>
      <c r="C4" s="193" t="inlineStr">
        <is>
          <t>Σταθερές Αργίες</t>
        </is>
      </c>
      <c r="D4" s="53" t="inlineStr">
        <is>
          <t>Πρωτοχρονιάς</t>
        </is>
      </c>
      <c r="E4" s="194">
        <f>DATE(B4,1,1)</f>
        <v/>
      </c>
    </row>
    <row r="5">
      <c r="B5" s="195" t="n"/>
      <c r="C5" s="174" t="n"/>
      <c r="D5" s="53" t="inlineStr">
        <is>
          <t>Θεοφανείων</t>
        </is>
      </c>
      <c r="E5" s="194">
        <f>DATE(B4,1,6)</f>
        <v/>
      </c>
    </row>
    <row r="6">
      <c r="B6" s="195" t="n"/>
      <c r="C6" s="174" t="n"/>
      <c r="D6" s="53" t="inlineStr">
        <is>
          <t>25ης Μαρτίου</t>
        </is>
      </c>
      <c r="E6" s="194">
        <f>DATE(B4,3,25)</f>
        <v/>
      </c>
    </row>
    <row r="7">
      <c r="B7" s="195" t="n"/>
      <c r="C7" s="174" t="n"/>
      <c r="D7" s="53" t="inlineStr">
        <is>
          <t>Πρωτομαγιάς</t>
        </is>
      </c>
      <c r="E7" s="194">
        <f>DATE(B4,5,1)</f>
        <v/>
      </c>
    </row>
    <row r="8">
      <c r="B8" s="195" t="n"/>
      <c r="C8" s="174" t="n"/>
      <c r="D8" s="53" t="inlineStr">
        <is>
          <t>Κοίμησης Θεοτόκου</t>
        </is>
      </c>
      <c r="E8" s="194">
        <f>DATE(B4,8,15)</f>
        <v/>
      </c>
    </row>
    <row r="9">
      <c r="B9" s="195" t="n"/>
      <c r="C9" s="174" t="n"/>
      <c r="D9" s="53" t="inlineStr">
        <is>
          <t>28ης Οκτωβρίου</t>
        </is>
      </c>
      <c r="E9" s="194">
        <f>DATE(B4,10,28)</f>
        <v/>
      </c>
    </row>
    <row r="10">
      <c r="B10" s="195" t="n"/>
      <c r="C10" s="174" t="n"/>
      <c r="D10" s="53" t="inlineStr">
        <is>
          <t>Χριστουγέννων</t>
        </is>
      </c>
      <c r="E10" s="194">
        <f>DATE(B4,12,25)</f>
        <v/>
      </c>
    </row>
    <row r="11">
      <c r="B11" s="195" t="n"/>
      <c r="C11" s="177" t="n"/>
      <c r="D11" s="53" t="inlineStr">
        <is>
          <t>Σύναξης Θεοτόκου</t>
        </is>
      </c>
      <c r="E11" s="194">
        <f>DATE(B4,12,26)</f>
        <v/>
      </c>
    </row>
    <row r="12">
      <c r="B12" s="195" t="n"/>
      <c r="C12" s="142" t="inlineStr">
        <is>
          <t>Άλλες Αργίες</t>
        </is>
      </c>
      <c r="D12" s="46" t="inlineStr">
        <is>
          <t>Καθαράς Δευτέρας</t>
        </is>
      </c>
      <c r="E12" s="196" t="n">
        <v>45369</v>
      </c>
    </row>
    <row r="13">
      <c r="B13" s="195" t="n"/>
      <c r="C13" s="174" t="n"/>
      <c r="D13" s="46" t="inlineStr">
        <is>
          <t>Μεγ. Παρασκευής</t>
        </is>
      </c>
      <c r="E13" s="196" t="n">
        <v>45415</v>
      </c>
    </row>
    <row r="14">
      <c r="B14" s="195" t="n"/>
      <c r="C14" s="174" t="n"/>
      <c r="D14" s="46" t="inlineStr">
        <is>
          <t>Μεγ. Σαββάτου</t>
        </is>
      </c>
      <c r="E14" s="196">
        <f>E13+1</f>
        <v/>
      </c>
    </row>
    <row r="15">
      <c r="B15" s="195" t="n"/>
      <c r="C15" s="174" t="n"/>
      <c r="D15" s="46" t="inlineStr">
        <is>
          <t>Κυριακής Πάσχα</t>
        </is>
      </c>
      <c r="E15" s="196">
        <f>E14+1</f>
        <v/>
      </c>
    </row>
    <row r="16">
      <c r="B16" s="195" t="n"/>
      <c r="C16" s="174" t="n"/>
      <c r="D16" s="46" t="inlineStr">
        <is>
          <t>Δευτέρας Πάσχα</t>
        </is>
      </c>
      <c r="E16" s="196">
        <f>E15+1</f>
        <v/>
      </c>
    </row>
    <row r="17">
      <c r="B17" s="195" t="n"/>
      <c r="C17" s="174" t="n"/>
      <c r="D17" s="46" t="inlineStr">
        <is>
          <t>Πεντηκοστής</t>
        </is>
      </c>
      <c r="E17" s="196" t="n">
        <v>45466</v>
      </c>
    </row>
    <row r="18">
      <c r="B18" s="195" t="n"/>
      <c r="C18" s="174" t="n"/>
      <c r="D18" s="46" t="inlineStr">
        <is>
          <t>Αγίου Πνεύματος</t>
        </is>
      </c>
      <c r="E18" s="196" t="n">
        <v>45467</v>
      </c>
    </row>
    <row r="19">
      <c r="B19" s="195" t="n"/>
      <c r="C19" s="174" t="n"/>
      <c r="D19" s="46" t="inlineStr">
        <is>
          <t>Άλλη αργία 1</t>
        </is>
      </c>
      <c r="E19" s="196" t="n"/>
    </row>
    <row r="20">
      <c r="B20" s="195" t="n"/>
      <c r="C20" s="174" t="n"/>
      <c r="D20" s="46" t="inlineStr">
        <is>
          <t>Άλλη αργία 2</t>
        </is>
      </c>
      <c r="E20" s="196" t="n"/>
    </row>
    <row r="21">
      <c r="B21" s="195" t="n"/>
      <c r="C21" s="174" t="n"/>
      <c r="D21" s="46" t="inlineStr">
        <is>
          <t>Άλλη αργία 3</t>
        </is>
      </c>
      <c r="E21" s="196" t="n"/>
    </row>
    <row r="22">
      <c r="B22" s="195" t="n"/>
      <c r="C22" s="174" t="n"/>
      <c r="D22" s="46" t="inlineStr">
        <is>
          <t>Άλλη αργία 4</t>
        </is>
      </c>
      <c r="E22" s="196" t="n"/>
    </row>
    <row r="23">
      <c r="B23" s="197" t="n"/>
      <c r="C23" s="174" t="n"/>
      <c r="D23" s="46" t="inlineStr">
        <is>
          <t>Άλλη αργία 5</t>
        </is>
      </c>
      <c r="E23" s="196" t="n"/>
    </row>
    <row r="24">
      <c r="B24" s="147" t="n">
        <v>2025</v>
      </c>
      <c r="C24" s="193" t="inlineStr">
        <is>
          <t>Σταθερές Αργίες</t>
        </is>
      </c>
      <c r="D24" s="53" t="inlineStr">
        <is>
          <t>Πρωτοχρονιάς</t>
        </is>
      </c>
      <c r="E24" s="194">
        <f>DATE(B24,1,1)</f>
        <v/>
      </c>
    </row>
    <row r="25">
      <c r="B25" s="195" t="n"/>
      <c r="C25" s="174" t="n"/>
      <c r="D25" s="53" t="inlineStr">
        <is>
          <t>Θεοφανείων</t>
        </is>
      </c>
      <c r="E25" s="194">
        <f>DATE(B24,1,6)</f>
        <v/>
      </c>
    </row>
    <row r="26">
      <c r="B26" s="195" t="n"/>
      <c r="C26" s="174" t="n"/>
      <c r="D26" s="53" t="inlineStr">
        <is>
          <t>25ης Μαρτίου</t>
        </is>
      </c>
      <c r="E26" s="194">
        <f>DATE(B24,3,25)</f>
        <v/>
      </c>
    </row>
    <row r="27">
      <c r="B27" s="195" t="n"/>
      <c r="C27" s="174" t="n"/>
      <c r="D27" s="53" t="inlineStr">
        <is>
          <t>Πρωτομαγιάς</t>
        </is>
      </c>
      <c r="E27" s="194">
        <f>DATE(B24,5,1)</f>
        <v/>
      </c>
    </row>
    <row r="28">
      <c r="B28" s="195" t="n"/>
      <c r="C28" s="174" t="n"/>
      <c r="D28" s="53" t="inlineStr">
        <is>
          <t>Κοίμησης Θεοτόκου</t>
        </is>
      </c>
      <c r="E28" s="194">
        <f>DATE(B24,8,15)</f>
        <v/>
      </c>
    </row>
    <row r="29">
      <c r="B29" s="195" t="n"/>
      <c r="C29" s="174" t="n"/>
      <c r="D29" s="53" t="inlineStr">
        <is>
          <t>28ης Οκτωβρίου</t>
        </is>
      </c>
      <c r="E29" s="194">
        <f>DATE(B24,10,28)</f>
        <v/>
      </c>
    </row>
    <row r="30">
      <c r="B30" s="195" t="n"/>
      <c r="C30" s="174" t="n"/>
      <c r="D30" s="53" t="inlineStr">
        <is>
          <t>Χριστουγέννων</t>
        </is>
      </c>
      <c r="E30" s="194">
        <f>DATE(B24,12,25)</f>
        <v/>
      </c>
    </row>
    <row r="31">
      <c r="B31" s="195" t="n"/>
      <c r="C31" s="177" t="n"/>
      <c r="D31" s="53" t="inlineStr">
        <is>
          <t>Σύναξης Θεοτόκου</t>
        </is>
      </c>
      <c r="E31" s="194">
        <f>DATE(B24,12,26)</f>
        <v/>
      </c>
    </row>
    <row r="32">
      <c r="B32" s="195" t="n"/>
      <c r="C32" s="142" t="inlineStr">
        <is>
          <t>Άλλες Αργίες</t>
        </is>
      </c>
      <c r="D32" s="46" t="inlineStr">
        <is>
          <t>Καθαράς Δευτέρας</t>
        </is>
      </c>
      <c r="E32" s="196" t="n">
        <v>45719</v>
      </c>
    </row>
    <row r="33">
      <c r="B33" s="195" t="n"/>
      <c r="C33" s="174" t="n"/>
      <c r="D33" s="46" t="inlineStr">
        <is>
          <t>Μεγ. Παρασκευής</t>
        </is>
      </c>
      <c r="E33" s="196" t="n">
        <v>45765</v>
      </c>
    </row>
    <row r="34">
      <c r="B34" s="195" t="n"/>
      <c r="C34" s="174" t="n"/>
      <c r="D34" s="46" t="inlineStr">
        <is>
          <t>Μεγ. Σαββάτου</t>
        </is>
      </c>
      <c r="E34" s="196">
        <f>E33+1</f>
        <v/>
      </c>
    </row>
    <row r="35">
      <c r="B35" s="195" t="n"/>
      <c r="C35" s="174" t="n"/>
      <c r="D35" s="46" t="inlineStr">
        <is>
          <t>Κυριακής Πάσχα</t>
        </is>
      </c>
      <c r="E35" s="196">
        <f>E34+1</f>
        <v/>
      </c>
    </row>
    <row r="36">
      <c r="B36" s="195" t="n"/>
      <c r="C36" s="174" t="n"/>
      <c r="D36" s="46" t="inlineStr">
        <is>
          <t>Δευτέρας Πάσχα</t>
        </is>
      </c>
      <c r="E36" s="196">
        <f>E35+1</f>
        <v/>
      </c>
    </row>
    <row r="37">
      <c r="B37" s="195" t="n"/>
      <c r="C37" s="174" t="n"/>
      <c r="D37" s="46" t="inlineStr">
        <is>
          <t>Πεντηκοστής</t>
        </is>
      </c>
      <c r="E37" s="196" t="n">
        <v>45816</v>
      </c>
    </row>
    <row r="38">
      <c r="B38" s="195" t="n"/>
      <c r="C38" s="174" t="n"/>
      <c r="D38" s="46" t="inlineStr">
        <is>
          <t>Αγίου Πνεύματος</t>
        </is>
      </c>
      <c r="E38" s="196">
        <f>E37+1</f>
        <v/>
      </c>
    </row>
    <row r="39">
      <c r="B39" s="195" t="n"/>
      <c r="C39" s="174" t="n"/>
      <c r="D39" s="46" t="inlineStr">
        <is>
          <t>Άλλη αργία 1</t>
        </is>
      </c>
      <c r="E39" s="196" t="n"/>
    </row>
    <row r="40">
      <c r="B40" s="195" t="n"/>
      <c r="C40" s="174" t="n"/>
      <c r="D40" s="46" t="inlineStr">
        <is>
          <t>Άλλη αργία 2</t>
        </is>
      </c>
      <c r="E40" s="196" t="n"/>
    </row>
    <row r="41">
      <c r="B41" s="195" t="n"/>
      <c r="C41" s="174" t="n"/>
      <c r="D41" s="46" t="inlineStr">
        <is>
          <t>Άλλη αργία 3</t>
        </is>
      </c>
      <c r="E41" s="196" t="n"/>
    </row>
    <row r="42">
      <c r="B42" s="195" t="n"/>
      <c r="C42" s="174" t="n"/>
      <c r="D42" s="46" t="inlineStr">
        <is>
          <t>Άλλη αργία 4</t>
        </is>
      </c>
      <c r="E42" s="196" t="n"/>
    </row>
    <row r="43">
      <c r="B43" s="197" t="n"/>
      <c r="C43" s="174" t="n"/>
      <c r="D43" s="46" t="inlineStr">
        <is>
          <t>Άλλη αργία 5</t>
        </is>
      </c>
      <c r="E43" s="196" t="n"/>
    </row>
    <row r="44">
      <c r="B44" s="198" t="n">
        <v>2026</v>
      </c>
      <c r="C44" s="199" t="inlineStr">
        <is>
          <t>Σταθερές Αργίες</t>
        </is>
      </c>
      <c r="D44" s="53" t="inlineStr">
        <is>
          <t>Πρωτοχρονιάς</t>
        </is>
      </c>
      <c r="E44" s="200">
        <f>DATE(B44,1,1)</f>
        <v/>
      </c>
    </row>
    <row r="45">
      <c r="B45" s="195" t="n"/>
      <c r="C45" s="174" t="n"/>
      <c r="D45" s="53" t="inlineStr">
        <is>
          <t>Θεοφανείων</t>
        </is>
      </c>
      <c r="E45" s="200">
        <f>DATE(B44,1,6)</f>
        <v/>
      </c>
    </row>
    <row r="46">
      <c r="B46" s="195" t="n"/>
      <c r="C46" s="174" t="n"/>
      <c r="D46" s="53" t="inlineStr">
        <is>
          <t>25ης Μαρτίου</t>
        </is>
      </c>
      <c r="E46" s="200">
        <f>DATE(B44,3,25)</f>
        <v/>
      </c>
    </row>
    <row r="47">
      <c r="B47" s="195" t="n"/>
      <c r="C47" s="174" t="n"/>
      <c r="D47" s="53" t="inlineStr">
        <is>
          <t>Πρωτομαγιάς</t>
        </is>
      </c>
      <c r="E47" s="200">
        <f>DATE(B44,5,1)</f>
        <v/>
      </c>
    </row>
    <row r="48">
      <c r="B48" s="195" t="n"/>
      <c r="C48" s="174" t="n"/>
      <c r="D48" s="53" t="inlineStr">
        <is>
          <t>Κοίμησης Θεοτόκου</t>
        </is>
      </c>
      <c r="E48" s="200">
        <f>DATE(B44,8,15)</f>
        <v/>
      </c>
    </row>
    <row r="49">
      <c r="B49" s="195" t="n"/>
      <c r="C49" s="174" t="n"/>
      <c r="D49" s="53" t="inlineStr">
        <is>
          <t>28ης Οκτωβρίου</t>
        </is>
      </c>
      <c r="E49" s="200">
        <f>DATE(B44,10,28)</f>
        <v/>
      </c>
    </row>
    <row r="50">
      <c r="B50" s="195" t="n"/>
      <c r="C50" s="174" t="n"/>
      <c r="D50" s="53" t="inlineStr">
        <is>
          <t>Χριστουγέννων</t>
        </is>
      </c>
      <c r="E50" s="200">
        <f>DATE(B44,12,25)</f>
        <v/>
      </c>
    </row>
    <row r="51">
      <c r="B51" s="195" t="n"/>
      <c r="C51" s="177" t="n"/>
      <c r="D51" s="53" t="inlineStr">
        <is>
          <t>Σύναξης Θεοτόκου</t>
        </is>
      </c>
      <c r="E51" s="200">
        <f>DATE(B44,12,26)</f>
        <v/>
      </c>
    </row>
    <row r="52">
      <c r="B52" s="195" t="n"/>
      <c r="C52" s="201" t="inlineStr">
        <is>
          <t>Άλλες Αργίες</t>
        </is>
      </c>
      <c r="D52" s="46" t="inlineStr">
        <is>
          <t>Καθαράς Δευτέρας</t>
        </is>
      </c>
      <c r="E52" s="202" t="n">
        <v>46076</v>
      </c>
    </row>
    <row r="53">
      <c r="B53" s="195" t="n"/>
      <c r="C53" s="174" t="n"/>
      <c r="D53" s="46" t="inlineStr">
        <is>
          <t>Μεγ. Παρασκευής</t>
        </is>
      </c>
      <c r="E53" s="202" t="n">
        <v>46122</v>
      </c>
    </row>
    <row r="54">
      <c r="B54" s="195" t="n"/>
      <c r="C54" s="174" t="n"/>
      <c r="D54" s="46" t="inlineStr">
        <is>
          <t>Μεγ. Σαββάτου</t>
        </is>
      </c>
      <c r="E54" s="202">
        <f>E53+1</f>
        <v/>
      </c>
    </row>
    <row r="55">
      <c r="B55" s="195" t="n"/>
      <c r="C55" s="174" t="n"/>
      <c r="D55" s="46" t="inlineStr">
        <is>
          <t>Κυριακής Πάσχα</t>
        </is>
      </c>
      <c r="E55" s="202">
        <f>E54+1</f>
        <v/>
      </c>
    </row>
    <row r="56">
      <c r="B56" s="195" t="n"/>
      <c r="C56" s="174" t="n"/>
      <c r="D56" s="46" t="inlineStr">
        <is>
          <t>Δευτέρας Πάσχα</t>
        </is>
      </c>
      <c r="E56" s="202">
        <f>E55+1</f>
        <v/>
      </c>
    </row>
    <row r="57">
      <c r="B57" s="195" t="n"/>
      <c r="C57" s="174" t="n"/>
      <c r="D57" s="46" t="inlineStr">
        <is>
          <t>Πεντηκοστής</t>
        </is>
      </c>
      <c r="E57" s="202" t="n">
        <v>46173</v>
      </c>
    </row>
    <row r="58">
      <c r="B58" s="195" t="n"/>
      <c r="C58" s="174" t="n"/>
      <c r="D58" s="46" t="inlineStr">
        <is>
          <t>Αγίου Πνεύματος</t>
        </is>
      </c>
      <c r="E58" s="202">
        <f>E57+1</f>
        <v/>
      </c>
    </row>
    <row r="59">
      <c r="B59" s="195" t="n"/>
      <c r="C59" s="174" t="n"/>
      <c r="D59" s="46" t="inlineStr">
        <is>
          <t>Άλλη αργία 1</t>
        </is>
      </c>
      <c r="E59" s="202" t="n"/>
    </row>
    <row r="60">
      <c r="B60" s="195" t="n"/>
      <c r="C60" s="174" t="n"/>
      <c r="D60" s="46" t="inlineStr">
        <is>
          <t>Άλλη αργία 2</t>
        </is>
      </c>
      <c r="E60" s="202" t="n"/>
    </row>
    <row r="61">
      <c r="B61" s="195" t="n"/>
      <c r="C61" s="174" t="n"/>
      <c r="D61" s="46" t="inlineStr">
        <is>
          <t>Άλλη αργία 3</t>
        </is>
      </c>
      <c r="E61" s="202" t="n"/>
    </row>
    <row r="62">
      <c r="B62" s="195" t="n"/>
      <c r="C62" s="174" t="n"/>
      <c r="D62" s="46" t="inlineStr">
        <is>
          <t>Άλλη αργία 4</t>
        </is>
      </c>
      <c r="E62" s="202" t="n"/>
    </row>
    <row r="63">
      <c r="B63" s="197" t="n"/>
      <c r="C63" s="174" t="n"/>
      <c r="D63" s="46" t="inlineStr">
        <is>
          <t>Άλλη αργία 5</t>
        </is>
      </c>
      <c r="E63" s="202" t="n"/>
    </row>
  </sheetData>
  <mergeCells count="9">
    <mergeCell ref="B24:B43"/>
    <mergeCell ref="B4:B23"/>
    <mergeCell ref="C52:C63"/>
    <mergeCell ref="B44:B63"/>
    <mergeCell ref="C32:C43"/>
    <mergeCell ref="C24:C31"/>
    <mergeCell ref="C12:C23"/>
    <mergeCell ref="C4:C11"/>
    <mergeCell ref="C44:C5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Φώτης Κόκκορας</dc:creator>
  <dc:title xmlns:dc="http://purl.org/dc/elements/1.1/">Βιβλίο Πρακτικής Άσκησης Ασκούμενου - Πανεπιστήμιο Θεσσαλίας</dc:title>
  <dcterms:created xmlns:dcterms="http://purl.org/dc/terms/" xmlns:xsi="http://www.w3.org/2001/XMLSchema-instance" xsi:type="dcterms:W3CDTF">2014-03-27T11:41:39Z</dcterms:created>
  <dcterms:modified xmlns:dcterms="http://purl.org/dc/terms/" xmlns:xsi="http://www.w3.org/2001/XMLSchema-instance" xsi:type="dcterms:W3CDTF">2026-04-29T11:08:22Z</dcterms:modified>
  <cp:lastModifiedBy>Paraskevi Meletsi (GR)</cp:lastModifiedBy>
  <cp:keywords>Πρακτική Άσκηση</cp:keywords>
</cp:coreProperties>
</file>